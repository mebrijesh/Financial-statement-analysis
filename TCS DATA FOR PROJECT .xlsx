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7900" firstSheet="6" activeTab="14"/>
  </bookViews>
  <sheets>
    <sheet name="Profit &amp; Loss" sheetId="1" r:id="rId1"/>
    <sheet name="Quarters" sheetId="3" r:id="rId2"/>
    <sheet name="Sheet3" sheetId="9" r:id="rId3"/>
    <sheet name="Sheet4" sheetId="10" r:id="rId4"/>
    <sheet name="Balance Sheet" sheetId="2" r:id="rId5"/>
    <sheet name="Cash Flow" sheetId="4" r:id="rId6"/>
    <sheet name="Customization" sheetId="5" r:id="rId7"/>
    <sheet name="Data Sheet" sheetId="6" r:id="rId8"/>
    <sheet name="Sheet5" sheetId="11" r:id="rId9"/>
    <sheet name="Sheet10" sheetId="16" r:id="rId10"/>
    <sheet name="Sheet6" sheetId="12" r:id="rId11"/>
    <sheet name="Sheet7" sheetId="13" r:id="rId12"/>
    <sheet name="Sheet8" sheetId="14" r:id="rId13"/>
    <sheet name="Sheet9" sheetId="15" r:id="rId14"/>
    <sheet name="Sheet11" sheetId="17" r:id="rId15"/>
  </sheets>
  <definedNames>
    <definedName name="UPDATE">'Data Sheet'!$E$1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F14" i="3" s="1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F5" i="1"/>
  <c r="G5" i="1"/>
  <c r="H5" i="1"/>
  <c r="I5" i="1"/>
  <c r="J5" i="1"/>
  <c r="K5" i="1"/>
  <c r="B5" i="1"/>
  <c r="B13" i="1"/>
  <c r="B6" i="6"/>
  <c r="L13" i="1" s="1"/>
  <c r="L14" i="1" s="1"/>
  <c r="L25" i="1" s="1"/>
  <c r="C17" i="2"/>
  <c r="C20" i="2" s="1"/>
  <c r="D17" i="2"/>
  <c r="E17" i="2"/>
  <c r="F17" i="2"/>
  <c r="G17" i="2"/>
  <c r="G20" i="2" s="1"/>
  <c r="C18" i="2"/>
  <c r="D18" i="2"/>
  <c r="D21" i="2" s="1"/>
  <c r="E18" i="2"/>
  <c r="E21" i="2" s="1"/>
  <c r="F18" i="2"/>
  <c r="F21" i="2" s="1"/>
  <c r="G18" i="2"/>
  <c r="B17" i="2"/>
  <c r="C4" i="2"/>
  <c r="D4" i="2"/>
  <c r="E4" i="2"/>
  <c r="E5" i="2"/>
  <c r="F4" i="2"/>
  <c r="F5" i="2"/>
  <c r="G4" i="2"/>
  <c r="C5" i="2"/>
  <c r="D5" i="2"/>
  <c r="G5" i="2"/>
  <c r="C6" i="2"/>
  <c r="D6" i="2"/>
  <c r="E6" i="2"/>
  <c r="F6" i="2"/>
  <c r="G6" i="2"/>
  <c r="C7" i="2"/>
  <c r="D7" i="2"/>
  <c r="E7" i="2"/>
  <c r="E16" i="2" s="1"/>
  <c r="F7" i="2"/>
  <c r="G7" i="2"/>
  <c r="C8" i="2"/>
  <c r="D8" i="2"/>
  <c r="E8" i="2"/>
  <c r="F8" i="2"/>
  <c r="G8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G16" i="2" s="1"/>
  <c r="C14" i="2"/>
  <c r="D14" i="2"/>
  <c r="E14" i="2"/>
  <c r="F14" i="2"/>
  <c r="G14" i="2"/>
  <c r="B14" i="2"/>
  <c r="B5" i="2"/>
  <c r="B4" i="2"/>
  <c r="B23" i="2" s="1"/>
  <c r="C4" i="3"/>
  <c r="C14" i="3" s="1"/>
  <c r="D4" i="3"/>
  <c r="D14" i="3" s="1"/>
  <c r="E4" i="3"/>
  <c r="E14" i="3" s="1"/>
  <c r="F4" i="3"/>
  <c r="G4" i="3"/>
  <c r="H4" i="3"/>
  <c r="I4" i="3"/>
  <c r="J4" i="3"/>
  <c r="L4" i="1" s="1"/>
  <c r="K4" i="3"/>
  <c r="K14" i="3" s="1"/>
  <c r="C5" i="3"/>
  <c r="D5" i="3"/>
  <c r="E5" i="3"/>
  <c r="F5" i="3"/>
  <c r="G5" i="3"/>
  <c r="H5" i="3"/>
  <c r="I5" i="3"/>
  <c r="L5" i="1" s="1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L23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I12" i="1"/>
  <c r="E23" i="2" s="1"/>
  <c r="J12" i="1"/>
  <c r="J13" i="1" s="1"/>
  <c r="K12" i="1"/>
  <c r="K13" i="1" s="1"/>
  <c r="K14" i="1" s="1"/>
  <c r="C15" i="1"/>
  <c r="C14" i="1" s="1"/>
  <c r="D15" i="1"/>
  <c r="E15" i="1"/>
  <c r="F15" i="1"/>
  <c r="G15" i="1"/>
  <c r="H15" i="1"/>
  <c r="H14" i="1" s="1"/>
  <c r="I15" i="1"/>
  <c r="J15" i="1"/>
  <c r="J14" i="1" s="1"/>
  <c r="K15" i="1"/>
  <c r="B15" i="1"/>
  <c r="B14" i="1" s="1"/>
  <c r="H13" i="1"/>
  <c r="I13" i="1"/>
  <c r="B7" i="1"/>
  <c r="B4" i="1"/>
  <c r="B20" i="2" s="1"/>
  <c r="A1" i="1"/>
  <c r="A1" i="2" s="1"/>
  <c r="A1" i="4" s="1"/>
  <c r="E1" i="6"/>
  <c r="H1" i="1" s="1"/>
  <c r="E1" i="2"/>
  <c r="E1" i="3"/>
  <c r="D16" i="2"/>
  <c r="E6" i="1"/>
  <c r="E19" i="1" s="1"/>
  <c r="K6" i="1"/>
  <c r="K19" i="1" s="1"/>
  <c r="B6" i="1"/>
  <c r="B19" i="1" s="1"/>
  <c r="C3" i="2"/>
  <c r="D3" i="2"/>
  <c r="E3" i="2"/>
  <c r="F3" i="2"/>
  <c r="G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G21" i="2"/>
  <c r="C21" i="2"/>
  <c r="B18" i="2"/>
  <c r="B21" i="2"/>
  <c r="B13" i="2"/>
  <c r="B12" i="2"/>
  <c r="B11" i="2"/>
  <c r="B10" i="2"/>
  <c r="B8" i="2"/>
  <c r="B7" i="2"/>
  <c r="B6" i="2"/>
  <c r="B3" i="2"/>
  <c r="H14" i="3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I14" i="3"/>
  <c r="G14" i="3"/>
  <c r="D20" i="2"/>
  <c r="L12" i="1"/>
  <c r="L11" i="1"/>
  <c r="L6" i="1"/>
  <c r="H23" i="1"/>
  <c r="I23" i="1"/>
  <c r="J23" i="1"/>
  <c r="D23" i="2" l="1"/>
  <c r="C16" i="2"/>
  <c r="G23" i="2"/>
  <c r="F23" i="2"/>
  <c r="B16" i="2"/>
  <c r="N11" i="1"/>
  <c r="M11" i="1"/>
  <c r="L19" i="1"/>
  <c r="L24" i="1" s="1"/>
  <c r="K24" i="1"/>
  <c r="M24" i="1" s="1"/>
  <c r="L9" i="1"/>
  <c r="I6" i="1"/>
  <c r="I19" i="1" s="1"/>
  <c r="F16" i="2"/>
  <c r="L8" i="1"/>
  <c r="F24" i="2"/>
  <c r="D24" i="2"/>
  <c r="L7" i="1"/>
  <c r="I24" i="1"/>
  <c r="J14" i="3"/>
  <c r="C23" i="2"/>
  <c r="A1" i="3"/>
  <c r="F20" i="2"/>
  <c r="G6" i="1"/>
  <c r="G19" i="1" s="1"/>
  <c r="E24" i="2"/>
  <c r="J6" i="1"/>
  <c r="J19" i="1" s="1"/>
  <c r="G24" i="2"/>
  <c r="H24" i="1"/>
  <c r="B14" i="3"/>
  <c r="I14" i="1"/>
  <c r="K25" i="1" s="1"/>
  <c r="M25" i="1" s="1"/>
  <c r="M14" i="1" s="1"/>
  <c r="C24" i="2"/>
  <c r="D13" i="1"/>
  <c r="E13" i="1" s="1"/>
  <c r="E14" i="1" s="1"/>
  <c r="I25" i="1" s="1"/>
  <c r="J25" i="1"/>
  <c r="M9" i="1"/>
  <c r="N9" i="1"/>
  <c r="N8" i="1"/>
  <c r="M8" i="1"/>
  <c r="N23" i="1"/>
  <c r="N4" i="1" s="1"/>
  <c r="E20" i="2"/>
  <c r="J24" i="1"/>
  <c r="K23" i="1"/>
  <c r="M23" i="1" s="1"/>
  <c r="M4" i="1" s="1"/>
  <c r="H6" i="1"/>
  <c r="H19" i="1" s="1"/>
  <c r="F6" i="1"/>
  <c r="F19" i="1" s="1"/>
  <c r="E1" i="4"/>
  <c r="D14" i="1" l="1"/>
  <c r="H25" i="1" s="1"/>
  <c r="N25" i="1" s="1"/>
  <c r="N14" i="1" s="1"/>
  <c r="N15" i="1" s="1"/>
  <c r="N24" i="1"/>
  <c r="N6" i="1"/>
  <c r="N10" i="1" s="1"/>
  <c r="N12" i="1" s="1"/>
  <c r="N13" i="1" s="1"/>
  <c r="M6" i="1"/>
  <c r="M10" i="1" s="1"/>
  <c r="M12" i="1" s="1"/>
  <c r="M13" i="1" s="1"/>
  <c r="M15" i="1" s="1"/>
  <c r="N5" i="1" l="1"/>
  <c r="M5" i="1"/>
</calcChain>
</file>

<file path=xl/sharedStrings.xml><?xml version="1.0" encoding="utf-8"?>
<sst xmlns="http://schemas.openxmlformats.org/spreadsheetml/2006/main" count="241" uniqueCount="157">
  <si>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</si>
  <si>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</si>
  <si>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</si>
  <si>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</si>
  <si>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</si>
  <si>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</si>
  <si>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</si>
  <si>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</si>
  <si>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</si>
  <si>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</si>
  <si>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</si>
  <si>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</si>
  <si>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</si>
  <si>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</si>
  <si>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</si>
  <si>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</si>
  <si>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</si>
  <si>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</si>
  <si>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</si>
  <si>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</si>
  <si>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</si>
  <si>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</si>
  <si>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</si>
  <si>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</si>
  <si>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</si>
  <si>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</si>
  <si>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</si>
  <si>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</si>
  <si>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</si>
  <si>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</si>
  <si>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</si>
  <si>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</si>
  <si>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</si>
  <si>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</si>
  <si>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</si>
  <si>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</si>
  <si>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</si>
  <si>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</si>
  <si>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</si>
  <si>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</si>
  <si>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</si>
  <si>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</si>
  <si>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</si>
  <si>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</si>
  <si>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</si>
  <si>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</si>
  <si>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</si>
  <si>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</si>
  <si>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</si>
  <si>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</si>
  <si>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</si>
  <si>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</si>
  <si>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</si>
  <si>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</si>
  <si>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</si>
  <si>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</si>
  <si>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</si>
  <si>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</si>
  <si>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</si>
  <si>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</si>
  <si>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</si>
  <si>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</si>
  <si>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</si>
  <si>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</si>
  <si>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</si>
  <si>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</si>
  <si>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</si>
  <si>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</si>
  <si>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</si>
  <si>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</si>
  <si>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</si>
  <si>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</si>
  <si>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</si>
  <si>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</si>
  <si>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</si>
  <si>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</si>
  <si>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</si>
  <si>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</si>
  <si>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</si>
  <si>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</si>
  <si>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</si>
  <si>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</si>
  <si>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</si>
  <si>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</si>
  <si>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</si>
  <si>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</si>
  <si>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</si>
  <si>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</si>
  <si>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</si>
  <si>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</si>
  <si>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</si>
  <si>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</si>
  <si>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</si>
  <si>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</si>
  <si>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Revenue from Operations</t>
  </si>
  <si>
    <t>Net Profit</t>
  </si>
  <si>
    <t>FY 2023–24</t>
  </si>
  <si>
    <t>FY 2024–25</t>
  </si>
  <si>
    <t>FY 2025–26</t>
  </si>
  <si>
    <t>Profit for the Year</t>
  </si>
  <si>
    <t>Total Assets</t>
  </si>
  <si>
    <t>Total Equity</t>
  </si>
  <si>
    <t>Ratio</t>
  </si>
  <si>
    <t>Formula</t>
  </si>
  <si>
    <t>Net Profit Margin</t>
  </si>
  <si>
    <t>Net Profit ÷ Revenue × 100</t>
  </si>
  <si>
    <t>Operating Margin</t>
  </si>
  <si>
    <t>Operating Profit ÷ Revenue × 100</t>
  </si>
  <si>
    <t>Return on Equity (ROE)</t>
  </si>
  <si>
    <t>Net Profit ÷ Average Equity × 100</t>
  </si>
  <si>
    <t>Return on Assets (ROA)</t>
  </si>
  <si>
    <t>Net Profit ÷ Average Total Assets × 100</t>
  </si>
  <si>
    <t>≈31.4%</t>
  </si>
  <si>
    <t>≈31.9%</t>
  </si>
  <si>
    <t>≈28.9%</t>
  </si>
  <si>
    <t>Profit attributable to shareholders ÷ No. of shares</t>
  </si>
  <si>
    <t>Cash from Operating Activities</t>
  </si>
  <si>
    <t>Cash from Investing Activities</t>
  </si>
  <si>
    <t>Cash from Financing Activities</t>
  </si>
  <si>
    <t>Opening Cash &amp; Cash Equivalents</t>
  </si>
  <si>
    <t>Closing Cash &amp; Cash Equivalents</t>
  </si>
  <si>
    <t>Current Ratio</t>
  </si>
  <si>
    <t>Current Assets ÷ Current Liabilities</t>
  </si>
  <si>
    <t>Quick Ratio</t>
  </si>
  <si>
    <t>(Current Assets − Inventory) ÷ Current Liabilities</t>
  </si>
  <si>
    <t>Cash Ratio</t>
  </si>
  <si>
    <t>Cash &amp; Cash Equivalents ÷ Current Liabilities</t>
  </si>
  <si>
    <t>Solvency Ratio</t>
  </si>
  <si>
    <t>Debt-to-Equity Ratio</t>
  </si>
  <si>
    <t>Total Debt ÷ Total Equity</t>
  </si>
  <si>
    <t>Interest Coverage Ratio</t>
  </si>
  <si>
    <t>EBIT ÷ Interest Expense</t>
  </si>
  <si>
    <t>Debt Ratio</t>
  </si>
  <si>
    <t>Total Debt ÷ Total Assets × 100</t>
  </si>
  <si>
    <t>Efficiency Ratio</t>
  </si>
  <si>
    <t>Asset Turnover Ratio</t>
  </si>
  <si>
    <t>Revenue from Operations ÷ Average Total Assets</t>
  </si>
  <si>
    <t>Inventory Turnover Ratio</t>
  </si>
  <si>
    <t>Cost of Services ÷ Average Inventory</t>
  </si>
  <si>
    <t>Receivables Turnover Ratio</t>
  </si>
  <si>
    <t>Revenue from Operations ÷ Average Trade Receivables</t>
  </si>
  <si>
    <t>TCS YoY Growth (%)</t>
  </si>
  <si>
    <t>FY 2023-24</t>
  </si>
  <si>
    <t>FY 2024-25</t>
  </si>
  <si>
    <t>FY 2025-26</t>
  </si>
  <si>
    <t>Revenue</t>
  </si>
  <si>
    <t>Operating Cash Flow</t>
  </si>
  <si>
    <t xml:space="preserve">Particular </t>
  </si>
  <si>
    <t>RATIO</t>
  </si>
  <si>
    <t>DEBT TO EQUITY &amp; CURRENT RATIO ANALYSIS</t>
  </si>
  <si>
    <t>REVENUE &amp; NET PROFIT TREND</t>
  </si>
  <si>
    <t>YEAR ON YEAR GROWTH</t>
  </si>
  <si>
    <t>EFFICIENCY RATIO</t>
  </si>
  <si>
    <t>SOLVENCY RATIO</t>
  </si>
  <si>
    <t>PROFITABILITY RATIO TRENDS</t>
  </si>
  <si>
    <t>LIQUIDITY RATIO</t>
  </si>
  <si>
    <t>PROFITABILITY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</si>
</sst>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A141D"/>
      <name val="Calibri"/>
      <family val="2"/>
      <scheme val="minor"/>
    </font>
    <font>
      <sz val="12"/>
      <color rgb="FF042653"/>
      <name val="Calibri"/>
      <family val="2"/>
      <scheme val="minor"/>
    </font>
    <font>
      <b/>
      <sz val="12"/>
      <color rgb="FF04265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8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5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3" fontId="12" fillId="7" borderId="4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0" fontId="15" fillId="7" borderId="4" xfId="0" applyNumberFormat="1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vertical="center" wrapText="1"/>
    </xf>
    <xf numFmtId="10" fontId="15" fillId="7" borderId="11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vertical="center" wrapText="1"/>
    </xf>
    <xf numFmtId="10" fontId="15" fillId="7" borderId="13" xfId="0" applyNumberFormat="1" applyFont="1" applyFill="1" applyBorder="1" applyAlignment="1">
      <alignment horizontal="center" vertical="center" wrapText="1"/>
    </xf>
    <xf numFmtId="10" fontId="15" fillId="7" borderId="14" xfId="0" applyNumberFormat="1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vertical="center" wrapText="1"/>
    </xf>
    <xf numFmtId="10" fontId="15" fillId="7" borderId="5" xfId="0" applyNumberFormat="1" applyFont="1" applyFill="1" applyBorder="1" applyAlignment="1">
      <alignment horizontal="center" vertical="center" wrapText="1"/>
    </xf>
    <xf numFmtId="10" fontId="15" fillId="7" borderId="16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/>
    <xf numFmtId="0" fontId="1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right" vertical="center" wrapText="1"/>
    </xf>
    <xf numFmtId="0" fontId="1" fillId="0" borderId="19" xfId="0" applyFont="1" applyBorder="1" applyAlignment="1">
      <alignment horizontal="right" vertical="center" wrapText="1"/>
    </xf>
    <xf numFmtId="3" fontId="12" fillId="7" borderId="11" xfId="0" applyNumberFormat="1" applyFont="1" applyFill="1" applyBorder="1" applyAlignment="1">
      <alignment vertical="center" wrapText="1"/>
    </xf>
    <xf numFmtId="0" fontId="11" fillId="7" borderId="12" xfId="0" applyFont="1" applyFill="1" applyBorder="1" applyAlignment="1">
      <alignment vertical="center" wrapText="1"/>
    </xf>
    <xf numFmtId="3" fontId="13" fillId="7" borderId="13" xfId="0" applyNumberFormat="1" applyFont="1" applyFill="1" applyBorder="1" applyAlignment="1">
      <alignment vertical="center" wrapText="1"/>
    </xf>
    <xf numFmtId="3" fontId="13" fillId="7" borderId="14" xfId="0" applyNumberFormat="1" applyFont="1" applyFill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" fillId="8" borderId="7" xfId="0" applyFont="1" applyFill="1" applyBorder="1"/>
    <xf numFmtId="0" fontId="1" fillId="8" borderId="8" xfId="0" applyFont="1" applyFill="1" applyBorder="1"/>
    <xf numFmtId="0" fontId="0" fillId="8" borderId="8" xfId="0" applyFill="1" applyBorder="1"/>
    <xf numFmtId="0" fontId="0" fillId="8" borderId="9" xfId="0" applyFill="1" applyBorder="1"/>
    <xf numFmtId="0" fontId="20" fillId="10" borderId="0" xfId="0" applyFont="1" applyFill="1" applyAlignment="1">
      <alignment horizontal="center" vertic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9" fillId="10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6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color theme="0"/>
      </font>
      <fill>
        <patternFill>
          <bgColor theme="5"/>
        </patternFill>
      </fill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Sheet10!$C$6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Sheet10!$D$5:$F$5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Sheet10!$D$6:$F$6</c:f>
              <c:numCache>
                <c:formatCode>0.00%</c:formatCode>
                <c:ptCount val="3"/>
                <c:pt idx="0">
                  <c:v>0.193</c:v>
                </c:pt>
                <c:pt idx="1">
                  <c:v>0.19</c:v>
                </c:pt>
                <c:pt idx="2">
                  <c:v>0.19800000000000001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Sheet10!$C$7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Sheet10!$D$5:$F$5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Sheet10!$D$7:$F$7</c:f>
              <c:numCache>
                <c:formatCode>0.00%</c:formatCode>
                <c:ptCount val="3"/>
                <c:pt idx="0">
                  <c:v>0.246</c:v>
                </c:pt>
                <c:pt idx="1">
                  <c:v>0.24299999999999999</c:v>
                </c:pt>
                <c:pt idx="2">
                  <c:v>0.25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Sheet10!$C$8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Sheet10!$D$5:$F$5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Sheet10!$D$8:$F$8</c:f>
              <c:numCache>
                <c:formatCode>0.00%</c:formatCode>
                <c:ptCount val="3"/>
                <c:pt idx="0">
                  <c:v>0.51300000000000001</c:v>
                </c:pt>
                <c:pt idx="1">
                  <c:v>0.52200000000000002</c:v>
                </c:pt>
                <c:pt idx="2">
                  <c:v>0.51400000000000001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384400"/>
        <c:axId val="298384792"/>
      </c:lineChart>
      <c:catAx>
        <c:axId val="2983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84792"/>
        <c:crosses val="autoZero"/>
        <c:auto val="1"/>
        <c:lblAlgn val="ctr"/>
        <c:lblOffset val="100"/>
        <c:noMultiLvlLbl val="0"/>
      </c:catAx>
      <c:valAx>
        <c:axId val="29838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8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Sheet9!$C$10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Sheet9!$D$9:$F$9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Sheet9!$D$10:$F$10</c:f>
              <c:numCache>
                <c:formatCode>#,##0</c:formatCode>
                <c:ptCount val="3"/>
                <c:pt idx="0">
                  <c:v>240893</c:v>
                </c:pt>
                <c:pt idx="1">
                  <c:v>255324</c:v>
                </c:pt>
                <c:pt idx="2">
                  <c:v>267021</c:v>
                </c:pt>
              </c:numCache>
            </c:numRef>
          </c:val>
        </c:ser>
        <c:ser>
          <c:idx val="1"/>
          <c:order val="1"/>
          <c:tx>
            <c:strRef>
              <c:f>Sheet9!$C$11</c:f>
              <c:strCache>
                <c:ptCount val="1"/>
                <c:pt idx="0">
                  <c:v>Profit for the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Sheet9!$D$9:$F$9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Sheet9!$D$11:$F$11</c:f>
              <c:numCache>
                <c:formatCode>#,##0</c:formatCode>
                <c:ptCount val="3"/>
                <c:pt idx="0">
                  <c:v>46099</c:v>
                </c:pt>
                <c:pt idx="1">
                  <c:v>48797</c:v>
                </c:pt>
                <c:pt idx="2">
                  <c:v>49454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98383616"/>
        <c:axId val="302813888"/>
      </c:barChart>
      <c:catAx>
        <c:axId val="2983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13888"/>
        <c:crosses val="autoZero"/>
        <c:auto val="1"/>
        <c:lblAlgn val="ctr"/>
        <c:lblOffset val="100"/>
        <c:noMultiLvlLbl val="0"/>
      </c:catAx>
      <c:valAx>
        <c:axId val="302813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Sheet11!$C$9:$D$9</c:f>
              <c:strCache>
                <c:ptCount val="2"/>
                <c:pt idx="0">
                  <c:v>Current Ratio</c:v>
                </c:pt>
                <c:pt idx="1">
                  <c:v>Current Assets ÷ Current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Sheet11!$E$8:$G$8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Sheet11!$E$9:$G$9</c:f>
              <c:numCache>
                <c:formatCode>General</c:formatCode>
                <c:ptCount val="3"/>
                <c:pt idx="0">
                  <c:v>2.4500000000000002</c:v>
                </c:pt>
                <c:pt idx="1">
                  <c:v>2.3199999999999998</c:v>
                </c:pt>
                <c:pt idx="2">
                  <c:v>2.23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815848"/>
        <c:axId val="302813104"/>
      </c:barChart>
      <c:lineChart>
        <c:grouping val="standard"/>
        <c:varyColors val="0"/>
        <c:ser>
          <c:idx val="1"/>
          <c:order val="1"/>
          <c:tx>
            <c:strRef>
              <c:f>Sheet11!$C$10:$D$10</c:f>
              <c:strCache>
                <c:ptCount val="2"/>
                <c:pt idx="0">
                  <c:v>Debt-to-Equity Ratio</c:v>
                </c:pt>
                <c:pt idx="1">
                  <c:v>Total Debt ÷ Total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Sheet11!$E$8:$G$8</c:f>
              <c:strCache>
                <c:ptCount val="3"/>
                <c:pt idx="0">
                  <c:v>FY 2023–24</c:v>
                </c:pt>
                <c:pt idx="1">
                  <c:v>FY 2024–25</c:v>
                </c:pt>
                <c:pt idx="2">
                  <c:v>FY 2025–26</c:v>
                </c:pt>
              </c:strCache>
            </c:strRef>
          </c:cat>
          <c:val>
            <c:numRef>
              <c:f>Sheet11!$E$10:$G$10</c:f>
              <c:numCache>
                <c:formatCode>General</c:formatCode>
                <c:ptCount val="3"/>
                <c:pt idx="0">
                  <c:v>0.11</c:v>
                </c:pt>
                <c:pt idx="1">
                  <c:v>0.1</c:v>
                </c:pt>
                <c:pt idx="2">
                  <c:v>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812712"/>
        <c:axId val="302812320"/>
      </c:lineChart>
      <c:catAx>
        <c:axId val="30281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13104"/>
        <c:crosses val="autoZero"/>
        <c:auto val="1"/>
        <c:lblAlgn val="ctr"/>
        <c:lblOffset val="100"/>
        <c:noMultiLvlLbl val="0"/>
      </c:catAx>
      <c:valAx>
        <c:axId val="3028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15848"/>
        <c:crosses val="autoZero"/>
        <c:crossBetween val="between"/>
      </c:valAx>
      <c:valAx>
        <c:axId val="302812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12712"/>
        <c:crosses val="max"/>
        <c:crossBetween val="between"/>
      </c:valAx>
      <c:catAx>
        <c:axId val="302812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812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38651</xdr:colOff>
      <xdr:row>3</xdr:row>
      <xdr:rowOff>143564</xdr:rowOff>
    </xdr:from>
    <xdr:to>
      <xdr:col>14</xdr:col>
      <xdr:colOff>69021</xdr:colOff>
      <xdr:row>14</xdr:row>
      <xdr:rowOff>137490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4</xdr:row>
      <xdr:rowOff>152400</xdr:rowOff>
    </xdr:from>
    <xdr:to>
      <xdr:col>12</xdr:col>
      <xdr:colOff>601498</xdr:colOff>
      <xdr:row>17</xdr:row>
      <xdr:rowOff>180866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5</xdr:row>
      <xdr:rowOff>60325</xdr:rowOff>
    </xdr:from>
    <xdr:to>
      <xdr:col>15</xdr:col>
      <xdr:colOff>9525</xdr:colOff>
      <xdr:row>15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66">
  <tableColumns count="14">
    <tableColumn id="1" name="Column1" headerRowDxfId="65" dataDxfId="64"/>
    <tableColumn id="2" name="Column2" headerRowDxfId="63"/>
    <tableColumn id="3" name="Column3" headerRowDxfId="62"/>
    <tableColumn id="4" name="Column4" headerRowDxfId="61"/>
    <tableColumn id="5" name="Column5" headerRowDxfId="60"/>
    <tableColumn id="6" name="Column6" headerRowDxfId="59"/>
    <tableColumn id="7" name="Column7" headerRowDxfId="58"/>
    <tableColumn id="8" name="Column8" headerRowDxfId="57"/>
    <tableColumn id="9" name="Column9" headerRowDxfId="56"/>
    <tableColumn id="10" name="Column10" headerRowDxfId="55"/>
    <tableColumn id="11" name="Column11" headerRowDxfId="54"/>
    <tableColumn id="12" name="Column12" headerRowDxfId="53"/>
    <tableColumn id="13" name="Column13" headerRowDxfId="52" dataDxfId="51"/>
    <tableColumn id="14" name="Column14" headerRowDxfId="50" dataDxfId="49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48">
  <tableColumns count="11">
    <tableColumn id="1" name="Column1" headerRowDxfId="47"/>
    <tableColumn id="2" name="Column2" headerRowDxfId="46"/>
    <tableColumn id="3" name="Column3" headerRowDxfId="45"/>
    <tableColumn id="4" name="Column4" headerRowDxfId="44"/>
    <tableColumn id="5" name="Column5" headerRowDxfId="43"/>
    <tableColumn id="6" name="Column6" headerRowDxfId="42"/>
    <tableColumn id="7" name="Column7" headerRowDxfId="41"/>
    <tableColumn id="8" name="Column8" headerRowDxfId="40"/>
    <tableColumn id="9" name="Column9" headerRowDxfId="39"/>
    <tableColumn id="10" name="Column10" headerRowDxfId="38"/>
    <tableColumn id="11" name="Column11" headerRowDxfId="37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5" name="Table5" displayName="Table5" ref="C4:G9" totalsRowShown="0" headerRowDxfId="36" dataDxfId="35">
  <autoFilter ref="C4:G9"/>
  <tableColumns count="5">
    <tableColumn id="1" name="Ratio" dataDxfId="34"/>
    <tableColumn id="2" name="Formula" dataDxfId="33"/>
    <tableColumn id="3" name="FY 2023–24" dataDxfId="32"/>
    <tableColumn id="4" name="FY 2024–25" dataDxfId="31"/>
    <tableColumn id="5" name="FY 2025–26" dataDxfId="3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3:D9" totalsRowShown="0" headerRowDxfId="29" dataDxfId="28">
  <autoFilter ref="A3:D9"/>
  <tableColumns count="4">
    <tableColumn id="1" name="Particulars" dataDxfId="27"/>
    <tableColumn id="2" name="FY 2023–24" dataDxfId="26"/>
    <tableColumn id="3" name="FY 2024–25" dataDxfId="25"/>
    <tableColumn id="4" name="FY 2025–26" dataDxfId="2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B5:F8" totalsRowShown="0" headerRowDxfId="22" dataDxfId="21">
  <autoFilter ref="B5:F8"/>
  <tableColumns count="5">
    <tableColumn id="1" name="Ratio" dataDxfId="20"/>
    <tableColumn id="2" name="Formula" dataDxfId="19"/>
    <tableColumn id="3" name="FY 2023–24" dataDxfId="18"/>
    <tableColumn id="4" name="FY 2024–25" dataDxfId="17"/>
    <tableColumn id="5" name="FY 2025–26" dataDxfId="1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C5:G8" totalsRowShown="0" headerRowDxfId="15">
  <autoFilter ref="C5:G8"/>
  <tableColumns count="5">
    <tableColumn id="1" name="Solvency Ratio" dataDxfId="14"/>
    <tableColumn id="2" name="Formula" dataDxfId="13"/>
    <tableColumn id="3" name="FY 2023–24"/>
    <tableColumn id="4" name="FY 2024–25"/>
    <tableColumn id="5" name="FY 2025–2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B6:F9" totalsRowShown="0" headerRowDxfId="12" dataDxfId="11">
  <autoFilter ref="B6:F9"/>
  <tableColumns count="5">
    <tableColumn id="1" name="Efficiency Ratio" dataDxfId="10"/>
    <tableColumn id="2" name="Formula" dataDxfId="9"/>
    <tableColumn id="3" name="FY 2023–24" dataDxfId="8"/>
    <tableColumn id="4" name="FY 2024–25" dataDxfId="7"/>
    <tableColumn id="5" name="FY 2025–26" dataDxfId="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C4:F10" totalsRowShown="0" headerRowDxfId="5" dataDxfId="4">
  <autoFilter ref="C4:F10"/>
  <tableColumns count="4">
    <tableColumn id="1" name="TCS YoY Growth (%)" dataDxfId="3"/>
    <tableColumn id="2" name="FY 2023-24" dataDxfId="2"/>
    <tableColumn id="3" name="FY 2024-25" dataDxfId="1"/>
    <tableColumn id="4" name="FY 2025-26" dataDxfId="0"/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Normal="100" zoomScaleSheetLayoutView="100" zoomScalePageLayoutView="120" workbookViewId="0">
      <pane xSplit="1" ySplit="4" topLeftCell="D11" activePane="bottomRight" state="frozen"/>
      <selection activeCell="I2" sqref="I2"/>
      <selection pane="topRight" activeCell="I2" sqref="I2"/>
      <selection pane="bottomLeft" activeCell="I2" sqref="I2"/>
      <selection pane="bottomRight" activeCell="E27" sqref="E27"/>
    </sheetView>
  </sheetViews>
  <sheetFormatPr defaultColWidth="8.81640625" defaultRowHeight="14.5" x14ac:dyDescent="0.35"/>
  <cols>
    <col min="1" max="1" width="20.6328125" style="6" customWidth="1"/>
    <col min="2" max="6" width="13.453125" style="6" customWidth="1"/>
    <col min="7" max="7" width="14.81640625" style="6" bestFit="1" customWidth="1"/>
    <col min="8" max="11" width="13.453125" style="6" customWidth="1"/>
    <col min="12" max="12" width="13.36328125" style="6" customWidth="1"/>
    <col min="13" max="14" width="12.1796875" style="6" customWidth="1"/>
    <col min="15" max="16384" width="8.81640625" style="6"/>
  </cols>
  <sheetData>
    <row r="1" spans="1:14" s="8" customFormat="1" x14ac:dyDescent="0.35">
      <c r="A1" s="8" t="str">
        <f>'Data Sheet'!B1</f>
        <v>TATA CONSULTANCY SERVICES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5">
      <c r="A4" s="8" t="s">
        <v>6</v>
      </c>
      <c r="B4" s="1">
        <f>'Data Sheet'!B17</f>
        <v>117966</v>
      </c>
      <c r="C4" s="1">
        <f>'Data Sheet'!C17</f>
        <v>123104</v>
      </c>
      <c r="D4" s="1">
        <f>'Data Sheet'!D17</f>
        <v>146463</v>
      </c>
      <c r="E4" s="1">
        <f>'Data Sheet'!E17</f>
        <v>156949</v>
      </c>
      <c r="F4" s="1">
        <f>'Data Sheet'!F17</f>
        <v>164177</v>
      </c>
      <c r="G4" s="1">
        <f>'Data Sheet'!G17</f>
        <v>191754</v>
      </c>
      <c r="H4" s="1">
        <f>'Data Sheet'!H17</f>
        <v>225458</v>
      </c>
      <c r="I4" s="1">
        <f>'Data Sheet'!I17</f>
        <v>240893</v>
      </c>
      <c r="J4" s="1">
        <f>'Data Sheet'!J17</f>
        <v>255324</v>
      </c>
      <c r="K4" s="1">
        <f>'Data Sheet'!K17</f>
        <v>267021</v>
      </c>
      <c r="L4" s="1">
        <f>SUM(Quarters!H4:K4)</f>
        <v>275859</v>
      </c>
      <c r="M4" s="1">
        <f>$K4+M23*K4</f>
        <v>282513.15420191351</v>
      </c>
      <c r="N4" s="1">
        <f>$K4+N23*L4</f>
        <v>279658.75721436291</v>
      </c>
    </row>
    <row r="5" spans="1:14" x14ac:dyDescent="0.35">
      <c r="A5" s="6" t="s">
        <v>7</v>
      </c>
      <c r="B5" s="9">
        <f>SUM('Data Sheet'!B18,'Data Sheet'!B20:B24, -1*'Data Sheet'!B19)</f>
        <v>85655</v>
      </c>
      <c r="C5" s="9">
        <f>SUM('Data Sheet'!C18,'Data Sheet'!C20:C24, -1*'Data Sheet'!C19)</f>
        <v>90588</v>
      </c>
      <c r="D5" s="9">
        <f>SUM('Data Sheet'!D18,'Data Sheet'!D20:D24, -1*'Data Sheet'!D19)</f>
        <v>106957</v>
      </c>
      <c r="E5" s="9">
        <f>SUM('Data Sheet'!E18,'Data Sheet'!E20:E24, -1*'Data Sheet'!E19)</f>
        <v>114840</v>
      </c>
      <c r="F5" s="9">
        <f>SUM('Data Sheet'!F18,'Data Sheet'!F20:F24, -1*'Data Sheet'!F19)</f>
        <v>117631</v>
      </c>
      <c r="G5" s="9">
        <f>SUM('Data Sheet'!G18,'Data Sheet'!G20:G24, -1*'Data Sheet'!G19)</f>
        <v>138697</v>
      </c>
      <c r="H5" s="9">
        <f>SUM('Data Sheet'!H18,'Data Sheet'!H20:H24, -1*'Data Sheet'!H19)</f>
        <v>166199</v>
      </c>
      <c r="I5" s="9">
        <f>SUM('Data Sheet'!I18,'Data Sheet'!I20:I24, -1*'Data Sheet'!I19)</f>
        <v>176597</v>
      </c>
      <c r="J5" s="9">
        <f>SUM('Data Sheet'!J18,'Data Sheet'!J20:J24, -1*'Data Sheet'!J19)</f>
        <v>187917</v>
      </c>
      <c r="K5" s="9">
        <f>SUM('Data Sheet'!K18,'Data Sheet'!K20:K24, -1*'Data Sheet'!K19)</f>
        <v>194623</v>
      </c>
      <c r="L5" s="9">
        <f>SUM(Quarters!H5:K5)</f>
        <v>201780</v>
      </c>
      <c r="M5" s="9">
        <f t="shared" ref="M5:N5" si="0">M4-M6</f>
        <v>206647.25187455222</v>
      </c>
      <c r="N5" s="9">
        <f t="shared" si="0"/>
        <v>204873.91682878375</v>
      </c>
    </row>
    <row r="6" spans="1:14" s="8" customFormat="1" x14ac:dyDescent="0.35">
      <c r="A6" s="8" t="s">
        <v>8</v>
      </c>
      <c r="B6" s="1">
        <f>B4-B5</f>
        <v>32311</v>
      </c>
      <c r="C6" s="1">
        <f t="shared" ref="C6:K6" si="1">C4-C5</f>
        <v>32516</v>
      </c>
      <c r="D6" s="1">
        <f t="shared" si="1"/>
        <v>39506</v>
      </c>
      <c r="E6" s="1">
        <f t="shared" si="1"/>
        <v>42109</v>
      </c>
      <c r="F6" s="1">
        <f t="shared" si="1"/>
        <v>46546</v>
      </c>
      <c r="G6" s="1">
        <f t="shared" si="1"/>
        <v>53057</v>
      </c>
      <c r="H6" s="1">
        <f t="shared" si="1"/>
        <v>59259</v>
      </c>
      <c r="I6" s="1">
        <f t="shared" si="1"/>
        <v>64296</v>
      </c>
      <c r="J6" s="1">
        <f t="shared" si="1"/>
        <v>67407</v>
      </c>
      <c r="K6" s="1">
        <f t="shared" si="1"/>
        <v>72398</v>
      </c>
      <c r="L6" s="1">
        <f>SUM(Quarters!H6:K6)</f>
        <v>74079</v>
      </c>
      <c r="M6" s="1">
        <f>M4*M24</f>
        <v>75865.902327361269</v>
      </c>
      <c r="N6" s="1">
        <f>N4*N24</f>
        <v>74784.840385579169</v>
      </c>
    </row>
    <row r="7" spans="1:14" x14ac:dyDescent="0.35">
      <c r="A7" s="6" t="s">
        <v>9</v>
      </c>
      <c r="B7" s="9">
        <f>'Data Sheet'!B25</f>
        <v>4221</v>
      </c>
      <c r="C7" s="9">
        <f>'Data Sheet'!C25</f>
        <v>3642</v>
      </c>
      <c r="D7" s="9">
        <f>'Data Sheet'!D25</f>
        <v>4311</v>
      </c>
      <c r="E7" s="9">
        <f>'Data Sheet'!E25</f>
        <v>4592</v>
      </c>
      <c r="F7" s="9">
        <f>'Data Sheet'!F25</f>
        <v>1916</v>
      </c>
      <c r="G7" s="9">
        <f>'Data Sheet'!G25</f>
        <v>4018</v>
      </c>
      <c r="H7" s="9">
        <f>'Data Sheet'!H25</f>
        <v>3449</v>
      </c>
      <c r="I7" s="9">
        <f>'Data Sheet'!I25</f>
        <v>3464</v>
      </c>
      <c r="J7" s="9">
        <f>'Data Sheet'!J25</f>
        <v>3962</v>
      </c>
      <c r="K7" s="9">
        <f>'Data Sheet'!K25</f>
        <v>-124</v>
      </c>
      <c r="L7" s="9">
        <f>SUM(Quarters!H7:K7)</f>
        <v>-884</v>
      </c>
      <c r="M7" s="9">
        <v>0</v>
      </c>
      <c r="N7" s="9">
        <v>0</v>
      </c>
    </row>
    <row r="8" spans="1:14" x14ac:dyDescent="0.35">
      <c r="A8" s="6" t="s">
        <v>10</v>
      </c>
      <c r="B8" s="9">
        <f>'Data Sheet'!B26</f>
        <v>1987</v>
      </c>
      <c r="C8" s="9">
        <f>'Data Sheet'!C26</f>
        <v>2014</v>
      </c>
      <c r="D8" s="9">
        <f>'Data Sheet'!D26</f>
        <v>2056</v>
      </c>
      <c r="E8" s="9">
        <f>'Data Sheet'!E26</f>
        <v>3529</v>
      </c>
      <c r="F8" s="9">
        <f>'Data Sheet'!F26</f>
        <v>4065</v>
      </c>
      <c r="G8" s="9">
        <f>'Data Sheet'!G26</f>
        <v>4604</v>
      </c>
      <c r="H8" s="9">
        <f>'Data Sheet'!H26</f>
        <v>5022</v>
      </c>
      <c r="I8" s="9">
        <f>'Data Sheet'!I26</f>
        <v>4985</v>
      </c>
      <c r="J8" s="9">
        <f>'Data Sheet'!J26</f>
        <v>5242</v>
      </c>
      <c r="K8" s="9">
        <f>'Data Sheet'!K26</f>
        <v>5560</v>
      </c>
      <c r="L8" s="9">
        <f>SUM(Quarters!H8:K8)</f>
        <v>5438</v>
      </c>
      <c r="M8" s="9">
        <f>+$L8</f>
        <v>5438</v>
      </c>
      <c r="N8" s="9">
        <f>+$L8</f>
        <v>5438</v>
      </c>
    </row>
    <row r="9" spans="1:14" x14ac:dyDescent="0.35">
      <c r="A9" s="6" t="s">
        <v>11</v>
      </c>
      <c r="B9" s="9">
        <f>'Data Sheet'!B27</f>
        <v>32</v>
      </c>
      <c r="C9" s="9">
        <f>'Data Sheet'!C27</f>
        <v>52</v>
      </c>
      <c r="D9" s="9">
        <f>'Data Sheet'!D27</f>
        <v>198</v>
      </c>
      <c r="E9" s="9">
        <f>'Data Sheet'!E27</f>
        <v>924</v>
      </c>
      <c r="F9" s="9">
        <f>'Data Sheet'!F27</f>
        <v>637</v>
      </c>
      <c r="G9" s="9">
        <f>'Data Sheet'!G27</f>
        <v>784</v>
      </c>
      <c r="H9" s="9">
        <f>'Data Sheet'!H27</f>
        <v>779</v>
      </c>
      <c r="I9" s="9">
        <f>'Data Sheet'!I27</f>
        <v>778</v>
      </c>
      <c r="J9" s="9">
        <f>'Data Sheet'!J27</f>
        <v>796</v>
      </c>
      <c r="K9" s="9">
        <f>'Data Sheet'!K27</f>
        <v>1227</v>
      </c>
      <c r="L9" s="9">
        <f>SUM(Quarters!H9:K9)</f>
        <v>1305</v>
      </c>
      <c r="M9" s="9">
        <f>+$L9</f>
        <v>1305</v>
      </c>
      <c r="N9" s="9">
        <f>+$L9</f>
        <v>1305</v>
      </c>
    </row>
    <row r="10" spans="1:14" x14ac:dyDescent="0.35">
      <c r="A10" s="6" t="s">
        <v>12</v>
      </c>
      <c r="B10" s="9">
        <f>'Data Sheet'!B28</f>
        <v>34513</v>
      </c>
      <c r="C10" s="9">
        <f>'Data Sheet'!C28</f>
        <v>34092</v>
      </c>
      <c r="D10" s="9">
        <f>'Data Sheet'!D28</f>
        <v>41563</v>
      </c>
      <c r="E10" s="9">
        <f>'Data Sheet'!E28</f>
        <v>42248</v>
      </c>
      <c r="F10" s="9">
        <f>'Data Sheet'!F28</f>
        <v>43760</v>
      </c>
      <c r="G10" s="9">
        <f>'Data Sheet'!G28</f>
        <v>51687</v>
      </c>
      <c r="H10" s="9">
        <f>'Data Sheet'!H28</f>
        <v>56907</v>
      </c>
      <c r="I10" s="9">
        <f>'Data Sheet'!I28</f>
        <v>61997</v>
      </c>
      <c r="J10" s="9">
        <f>'Data Sheet'!J28</f>
        <v>65331</v>
      </c>
      <c r="K10" s="9">
        <f>'Data Sheet'!K28</f>
        <v>65487</v>
      </c>
      <c r="L10" s="9">
        <f>SUM(Quarters!H10:K10)</f>
        <v>66452</v>
      </c>
      <c r="M10" s="9">
        <f>M6+M7-SUM(M8:M9)</f>
        <v>69122.902327361269</v>
      </c>
      <c r="N10" s="9">
        <f>N6+N7-SUM(N8:N9)</f>
        <v>68041.840385579169</v>
      </c>
    </row>
    <row r="11" spans="1:14" x14ac:dyDescent="0.35">
      <c r="A11" s="6" t="s">
        <v>13</v>
      </c>
      <c r="B11" s="9">
        <f>'Data Sheet'!B29</f>
        <v>8156</v>
      </c>
      <c r="C11" s="9">
        <f>'Data Sheet'!C29</f>
        <v>8212</v>
      </c>
      <c r="D11" s="9">
        <f>'Data Sheet'!D29</f>
        <v>10001</v>
      </c>
      <c r="E11" s="9">
        <f>'Data Sheet'!E29</f>
        <v>9801</v>
      </c>
      <c r="F11" s="9">
        <f>'Data Sheet'!F29</f>
        <v>11198</v>
      </c>
      <c r="G11" s="9">
        <f>'Data Sheet'!G29</f>
        <v>13238</v>
      </c>
      <c r="H11" s="9">
        <f>'Data Sheet'!H29</f>
        <v>14604</v>
      </c>
      <c r="I11" s="9">
        <f>'Data Sheet'!I29</f>
        <v>15898</v>
      </c>
      <c r="J11" s="9">
        <f>'Data Sheet'!J29</f>
        <v>16534</v>
      </c>
      <c r="K11" s="9">
        <f>'Data Sheet'!K29</f>
        <v>16033</v>
      </c>
      <c r="L11" s="9">
        <f>SUM(Quarters!H11:K11)</f>
        <v>16397</v>
      </c>
      <c r="M11" s="10">
        <f>IF($L10&gt;0,$L11/$L10,0)</f>
        <v>0.24674953349786313</v>
      </c>
      <c r="N11" s="10">
        <f>IF($L10&gt;0,$L11/$L10,0)</f>
        <v>0.24674953349786313</v>
      </c>
    </row>
    <row r="12" spans="1:14" s="8" customFormat="1" x14ac:dyDescent="0.35">
      <c r="A12" s="8" t="s">
        <v>14</v>
      </c>
      <c r="B12" s="1">
        <f>'Data Sheet'!B30</f>
        <v>26289</v>
      </c>
      <c r="C12" s="1">
        <f>'Data Sheet'!C30</f>
        <v>25826</v>
      </c>
      <c r="D12" s="1">
        <f>'Data Sheet'!D30</f>
        <v>31472</v>
      </c>
      <c r="E12" s="1">
        <f>'Data Sheet'!E30</f>
        <v>32340</v>
      </c>
      <c r="F12" s="1">
        <f>'Data Sheet'!F30</f>
        <v>32430</v>
      </c>
      <c r="G12" s="1">
        <f>'Data Sheet'!G30</f>
        <v>38327</v>
      </c>
      <c r="H12" s="1">
        <f>'Data Sheet'!H30</f>
        <v>42147</v>
      </c>
      <c r="I12" s="1">
        <f>'Data Sheet'!I30</f>
        <v>45908</v>
      </c>
      <c r="J12" s="1">
        <f>'Data Sheet'!J30</f>
        <v>48553</v>
      </c>
      <c r="K12" s="1">
        <f>'Data Sheet'!K30</f>
        <v>49210</v>
      </c>
      <c r="L12" s="1">
        <f>SUM(Quarters!H12:K12)</f>
        <v>49799</v>
      </c>
      <c r="M12" s="1">
        <f>M10-M11*M10</f>
        <v>52066.858424066522</v>
      </c>
      <c r="N12" s="1">
        <f>N10-N11*N10</f>
        <v>51252.548012101441</v>
      </c>
    </row>
    <row r="13" spans="1:14" x14ac:dyDescent="0.35">
      <c r="A13" s="11" t="s">
        <v>57</v>
      </c>
      <c r="B13" s="9">
        <f>IF('Data Sheet'!B93&gt;0,B12/'Data Sheet'!B93,0)</f>
        <v>66.708112360120793</v>
      </c>
      <c r="C13" s="9">
        <f>IF('Data Sheet'!C93&gt;0,C12/'Data Sheet'!C93,0)</f>
        <v>67.455466750248135</v>
      </c>
      <c r="D13" s="9">
        <f>IF('Data Sheet'!D93&gt;0,D12/'Data Sheet'!D93,0)</f>
        <v>83.871655473830074</v>
      </c>
      <c r="E13" s="9">
        <f>IF('Data Sheet'!E93&gt;0,E12/'Data Sheet'!E93,0)</f>
        <v>86.184841701311157</v>
      </c>
      <c r="F13" s="9">
        <f>IF('Data Sheet'!F93&gt;0,F12/'Data Sheet'!F93,0)</f>
        <v>87.669973777405303</v>
      </c>
      <c r="G13" s="9">
        <f>IF('Data Sheet'!G93&gt;0,G12/'Data Sheet'!G93,0)</f>
        <v>104.74433603891667</v>
      </c>
      <c r="H13" s="9">
        <f>IF('Data Sheet'!H93&gt;0,H12/'Data Sheet'!H93,0)</f>
        <v>115.1840616545052</v>
      </c>
      <c r="I13" s="9">
        <f>IF('Data Sheet'!I93&gt;0,I12/'Data Sheet'!I93,0)</f>
        <v>126.88427627760427</v>
      </c>
      <c r="J13" s="9">
        <f>IF('Data Sheet'!J93&gt;0,J12/'Data Sheet'!J93,0)</f>
        <v>134.1947430972057</v>
      </c>
      <c r="K13" s="9">
        <f>IF('Data Sheet'!K93&gt;0,K12/'Data Sheet'!K93,0)</f>
        <v>136.01061330532599</v>
      </c>
      <c r="L13" s="9">
        <f>IF('Data Sheet'!$B6&gt;0,'Profit &amp; Loss'!L12/'Data Sheet'!$B6,0)</f>
        <v>137.63900459600117</v>
      </c>
      <c r="M13" s="9">
        <f>IF('Data Sheet'!$B6&gt;0,'Profit &amp; Loss'!M12/'Data Sheet'!$B6,0)</f>
        <v>143.90711793267806</v>
      </c>
      <c r="N13" s="9">
        <f>IF('Data Sheet'!$B6&gt;0,'Profit &amp; Loss'!N12/'Data Sheet'!$B6,0)</f>
        <v>141.65645276801544</v>
      </c>
    </row>
    <row r="14" spans="1:14" x14ac:dyDescent="0.35">
      <c r="A14" s="6" t="s">
        <v>16</v>
      </c>
      <c r="B14" s="9">
        <f>IF(B15&gt;0,B15/B13,"")</f>
        <v>18.227168435467306</v>
      </c>
      <c r="C14" s="9">
        <f t="shared" ref="C14:K14" si="2">IF(C15&gt;0,C15/C13,"")</f>
        <v>21.118822070781381</v>
      </c>
      <c r="D14" s="9">
        <f t="shared" si="2"/>
        <v>23.865631227758012</v>
      </c>
      <c r="E14" s="9">
        <f t="shared" si="2"/>
        <v>21.188180705009277</v>
      </c>
      <c r="F14" s="9">
        <f t="shared" si="2"/>
        <v>36.247872139993838</v>
      </c>
      <c r="G14" s="9">
        <f t="shared" si="2"/>
        <v>35.705510593054505</v>
      </c>
      <c r="H14" s="9">
        <f t="shared" si="2"/>
        <v>27.832843832301233</v>
      </c>
      <c r="I14" s="9">
        <f t="shared" si="2"/>
        <v>30.549884617060208</v>
      </c>
      <c r="J14" s="9">
        <f t="shared" si="2"/>
        <v>26.872513160875748</v>
      </c>
      <c r="K14" s="9">
        <f t="shared" si="2"/>
        <v>17.343499471652105</v>
      </c>
      <c r="L14" s="9">
        <f t="shared" ref="L14" si="3">IF(L13&gt;0,L15/L13,0)</f>
        <v>16.81100504026185</v>
      </c>
      <c r="M14" s="9">
        <f>M25</f>
        <v>22.894225572462478</v>
      </c>
      <c r="N14" s="9">
        <f>N25</f>
        <v>16.81100504026185</v>
      </c>
    </row>
    <row r="15" spans="1:14" s="8" customFormat="1" x14ac:dyDescent="0.35">
      <c r="A15" s="8" t="s">
        <v>58</v>
      </c>
      <c r="B15" s="1">
        <f>'Data Sheet'!B90</f>
        <v>1215.9000000000001</v>
      </c>
      <c r="C15" s="1">
        <f>'Data Sheet'!C90</f>
        <v>1424.58</v>
      </c>
      <c r="D15" s="1">
        <f>'Data Sheet'!D90</f>
        <v>2001.65</v>
      </c>
      <c r="E15" s="1">
        <f>'Data Sheet'!E90</f>
        <v>1826.1</v>
      </c>
      <c r="F15" s="1">
        <f>'Data Sheet'!F90</f>
        <v>3177.85</v>
      </c>
      <c r="G15" s="1">
        <f>'Data Sheet'!G90</f>
        <v>3739.95</v>
      </c>
      <c r="H15" s="1">
        <f>'Data Sheet'!H90</f>
        <v>3205.9</v>
      </c>
      <c r="I15" s="1">
        <f>'Data Sheet'!I90</f>
        <v>3876.3</v>
      </c>
      <c r="J15" s="1">
        <f>'Data Sheet'!J90</f>
        <v>3606.15</v>
      </c>
      <c r="K15" s="1">
        <f>'Data Sheet'!K90</f>
        <v>2358.9</v>
      </c>
      <c r="L15" s="1">
        <f>'Data Sheet'!B8</f>
        <v>2313.85</v>
      </c>
      <c r="M15" s="12">
        <f>M13*M14</f>
        <v>3294.6420194336915</v>
      </c>
      <c r="N15" s="13">
        <f>N13*N14</f>
        <v>2381.3873414687223</v>
      </c>
    </row>
    <row r="17" spans="1:14" s="8" customFormat="1" x14ac:dyDescent="0.35">
      <c r="A17" s="8" t="s">
        <v>15</v>
      </c>
    </row>
    <row r="18" spans="1:14" x14ac:dyDescent="0.35">
      <c r="A18" s="6" t="s">
        <v>17</v>
      </c>
      <c r="B18" s="7">
        <f>IF('Data Sheet'!B30&gt;0, 'Data Sheet'!B31/'Data Sheet'!B30, 0)</f>
        <v>0.35220054014987257</v>
      </c>
      <c r="C18" s="7">
        <f>IF('Data Sheet'!C30&gt;0, 'Data Sheet'!C31/'Data Sheet'!C30, 0)</f>
        <v>0.36978238983969641</v>
      </c>
      <c r="D18" s="7">
        <f>IF('Data Sheet'!D30&gt;0, 'Data Sheet'!D31/'Data Sheet'!D30, 0)</f>
        <v>0.3574605998983223</v>
      </c>
      <c r="E18" s="7">
        <f>IF('Data Sheet'!E30&gt;0, 'Data Sheet'!E31/'Data Sheet'!E30, 0)</f>
        <v>0.84647495361781078</v>
      </c>
      <c r="F18" s="7">
        <f>IF('Data Sheet'!F30&gt;0, 'Data Sheet'!F31/'Data Sheet'!F30, 0)</f>
        <v>0.4335491828553808</v>
      </c>
      <c r="G18" s="7">
        <f>IF('Data Sheet'!G30&gt;0, 'Data Sheet'!G31/'Data Sheet'!G30, 0)</f>
        <v>0.41062436402536073</v>
      </c>
      <c r="H18" s="7">
        <f>IF('Data Sheet'!H30&gt;0, 'Data Sheet'!H31/'Data Sheet'!H30, 0)</f>
        <v>0.99864759057584174</v>
      </c>
      <c r="I18" s="7">
        <f>IF('Data Sheet'!I30&gt;0, 'Data Sheet'!I31/'Data Sheet'!I30, 0)</f>
        <v>0.57562951990938394</v>
      </c>
      <c r="J18" s="7">
        <f>IF('Data Sheet'!J30&gt;0, 'Data Sheet'!J31/'Data Sheet'!J30, 0)</f>
        <v>0.93942701789796712</v>
      </c>
      <c r="K18" s="7">
        <f>IF('Data Sheet'!K30&gt;0, 'Data Sheet'!K31/'Data Sheet'!K30, 0)</f>
        <v>0.80918512497459871</v>
      </c>
    </row>
    <row r="19" spans="1:14" x14ac:dyDescent="0.35">
      <c r="A19" s="6" t="s">
        <v>18</v>
      </c>
      <c r="B19" s="7">
        <f t="shared" ref="B19:L19" si="4">IF(B6&gt;0,B6/B4,0)</f>
        <v>0.27390095451231711</v>
      </c>
      <c r="C19" s="7">
        <f t="shared" ref="C19:K19" si="5">IF(C6&gt;0,C6/C4,0)</f>
        <v>0.26413439043410447</v>
      </c>
      <c r="D19" s="7">
        <f t="shared" si="5"/>
        <v>0.26973365286795981</v>
      </c>
      <c r="E19" s="7">
        <f t="shared" si="5"/>
        <v>0.26829734499741953</v>
      </c>
      <c r="F19" s="7">
        <f t="shared" si="5"/>
        <v>0.28351108864213626</v>
      </c>
      <c r="G19" s="7">
        <f t="shared" si="5"/>
        <v>0.27669305464292793</v>
      </c>
      <c r="H19" s="7">
        <f t="shared" si="5"/>
        <v>0.26283831134845514</v>
      </c>
      <c r="I19" s="7">
        <f t="shared" si="5"/>
        <v>0.26690688396923118</v>
      </c>
      <c r="J19" s="7">
        <f t="shared" si="5"/>
        <v>0.26400573389105608</v>
      </c>
      <c r="K19" s="7">
        <f t="shared" si="5"/>
        <v>0.27113223304534101</v>
      </c>
      <c r="L19" s="7">
        <f t="shared" si="4"/>
        <v>0.26853936250040783</v>
      </c>
    </row>
    <row r="20" spans="1:1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9.5017226945995237E-2</v>
      </c>
      <c r="I23" s="7">
        <f>IF(D4=0,"",POWER($K4/D4,1/7)-1)</f>
        <v>8.9581301888085552E-2</v>
      </c>
      <c r="J23" s="7">
        <f>IF(F4=0,"",POWER($K4/F4,1/5)-1)</f>
        <v>0.1021650124358422</v>
      </c>
      <c r="K23" s="7">
        <f>IF(H4=0,"",POWER($K4/H4, 1/3)-1)</f>
        <v>5.8018486193645913E-2</v>
      </c>
      <c r="L23" s="7">
        <f>IF(ISERROR(MAX(IF(J4=0,"",(K4-J4)/J4),IF(K4=0,"",(L4-K4)/K4))),"",MAX(IF(J4=0,"",(K4-J4)/J4),IF(K4=0,"",(L4-K4)/K4)))</f>
        <v>4.5812379564788272E-2</v>
      </c>
      <c r="M23" s="22">
        <f>MAX(K23:L23)</f>
        <v>5.8018486193645913E-2</v>
      </c>
      <c r="N23" s="22">
        <f>MIN(H23:L23)</f>
        <v>4.5812379564788272E-2</v>
      </c>
    </row>
    <row r="24" spans="1:14" x14ac:dyDescent="0.35">
      <c r="G24" s="6" t="s">
        <v>18</v>
      </c>
      <c r="H24" s="7">
        <f>IF(SUM(B4:$K$4)=0,"",SUMPRODUCT(B19:$K$19,B4:$K$4)/SUM(B4:$K$4))</f>
        <v>0.26965357742724216</v>
      </c>
      <c r="I24" s="7">
        <f>IF(SUM(E4:$K$4)=0,"",SUMPRODUCT(E19:$K$19,E4:$K$4)/SUM(E4:$K$4))</f>
        <v>0.26976456736122578</v>
      </c>
      <c r="J24" s="7">
        <f>IF(SUM(G4:$K$4)=0,"",SUMPRODUCT(G19:$K$19,G4:$K$4)/SUM(G4:$K$4))</f>
        <v>0.2680477783895972</v>
      </c>
      <c r="K24" s="7">
        <f>IF(SUM(I4:$K$4)=0, "", SUMPRODUCT(I19:$K$19,I4:$K$4)/SUM(I4:$K$4))</f>
        <v>0.26741462034123037</v>
      </c>
      <c r="L24" s="7">
        <f>L19</f>
        <v>0.26853936250040783</v>
      </c>
      <c r="M24" s="22">
        <f>MAX(K24:L24)</f>
        <v>0.26853936250040783</v>
      </c>
      <c r="N24" s="22">
        <f>MIN(H24:L24)</f>
        <v>0.26741462034123037</v>
      </c>
    </row>
    <row r="25" spans="1:14" x14ac:dyDescent="0.35">
      <c r="G25" s="6" t="s">
        <v>23</v>
      </c>
      <c r="H25" s="9">
        <f>IF(ISERROR(AVERAGEIF(B14:$L14,"&gt;0")),"",AVERAGEIF(B14:$L14,"&gt;0"))</f>
        <v>25.069357390383221</v>
      </c>
      <c r="I25" s="9">
        <f>IF(ISERROR(AVERAGEIF(E14:$L14,"&gt;0")),"",AVERAGEIF(E14:$L14,"&gt;0"))</f>
        <v>26.568913695026097</v>
      </c>
      <c r="J25" s="9">
        <f>IF(ISERROR(AVERAGEIF(G14:$L14,"&gt;0")),"",AVERAGEIF(G14:$L14,"&gt;0"))</f>
        <v>25.852542785867609</v>
      </c>
      <c r="K25" s="9">
        <f>IF(ISERROR(AVERAGEIF(I14:$L14,"&gt;0")),"",AVERAGEIF(I14:$L14,"&gt;0"))</f>
        <v>22.894225572462478</v>
      </c>
      <c r="L25" s="9">
        <f>L14</f>
        <v>16.81100504026185</v>
      </c>
      <c r="M25" s="1">
        <f>MAX(K25:L25)</f>
        <v>22.894225572462478</v>
      </c>
      <c r="N25" s="1">
        <f>MIN(H25:L25)</f>
        <v>16.81100504026185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15" zoomScaleNormal="115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style="6" customWidth="1"/>
    <col min="2" max="11" width="13.453125" style="6" bestFit="1" customWidth="1"/>
    <col min="12" max="16384" width="8.81640625" style="6"/>
  </cols>
  <sheetData>
    <row r="1" spans="1:11" s="8" customFormat="1" x14ac:dyDescent="0.35">
      <c r="A1" s="8" t="str">
        <f>'Profit &amp; Loss'!A1</f>
        <v>TATA CONSULTANCY SERVICES LTD</v>
      </c>
      <c r="E1" t="str">
        <f>UPDATE</f>
        <v/>
      </c>
      <c r="J1" s="4" t="s">
        <v>1</v>
      </c>
      <c r="K1" s="4"/>
    </row>
    <row r="3" spans="1:11" s="2" customFormat="1" x14ac:dyDescent="0.35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5">
      <c r="A4" s="8" t="s">
        <v>6</v>
      </c>
      <c r="B4" s="1">
        <f>'Data Sheet'!B42</f>
        <v>61237</v>
      </c>
      <c r="C4" s="1">
        <f>'Data Sheet'!C42</f>
        <v>62613</v>
      </c>
      <c r="D4" s="1">
        <f>'Data Sheet'!D42</f>
        <v>64259</v>
      </c>
      <c r="E4" s="1">
        <f>'Data Sheet'!E42</f>
        <v>63973</v>
      </c>
      <c r="F4" s="1">
        <f>'Data Sheet'!F42</f>
        <v>64479</v>
      </c>
      <c r="G4" s="1">
        <f>'Data Sheet'!G42</f>
        <v>63437</v>
      </c>
      <c r="H4" s="1">
        <f>'Data Sheet'!H42</f>
        <v>65799</v>
      </c>
      <c r="I4" s="1">
        <f>'Data Sheet'!I42</f>
        <v>67087</v>
      </c>
      <c r="J4" s="1">
        <f>'Data Sheet'!J42</f>
        <v>70698</v>
      </c>
      <c r="K4" s="1">
        <f>'Data Sheet'!K42</f>
        <v>72275</v>
      </c>
    </row>
    <row r="5" spans="1:11" x14ac:dyDescent="0.35">
      <c r="A5" s="6" t="s">
        <v>7</v>
      </c>
      <c r="B5" s="9">
        <f>'Data Sheet'!B43</f>
        <v>44073</v>
      </c>
      <c r="C5" s="9">
        <f>'Data Sheet'!C43</f>
        <v>45951</v>
      </c>
      <c r="D5" s="9">
        <f>'Data Sheet'!D43</f>
        <v>47528</v>
      </c>
      <c r="E5" s="9">
        <f>'Data Sheet'!E43</f>
        <v>46939</v>
      </c>
      <c r="F5" s="9">
        <f>'Data Sheet'!F43</f>
        <v>47499</v>
      </c>
      <c r="G5" s="9">
        <f>'Data Sheet'!G43</f>
        <v>46562</v>
      </c>
      <c r="H5" s="9">
        <f>'Data Sheet'!H43</f>
        <v>47821</v>
      </c>
      <c r="I5" s="9">
        <f>'Data Sheet'!I43</f>
        <v>48818</v>
      </c>
      <c r="J5" s="9">
        <f>'Data Sheet'!J43</f>
        <v>51422</v>
      </c>
      <c r="K5" s="9">
        <f>'Data Sheet'!K43</f>
        <v>53719</v>
      </c>
    </row>
    <row r="6" spans="1:11" s="8" customFormat="1" x14ac:dyDescent="0.35">
      <c r="A6" s="8" t="s">
        <v>8</v>
      </c>
      <c r="B6" s="1">
        <f>'Data Sheet'!B50</f>
        <v>17164</v>
      </c>
      <c r="C6" s="1">
        <f>'Data Sheet'!C50</f>
        <v>16662</v>
      </c>
      <c r="D6" s="1">
        <f>'Data Sheet'!D50</f>
        <v>16731</v>
      </c>
      <c r="E6" s="1">
        <f>'Data Sheet'!E50</f>
        <v>17034</v>
      </c>
      <c r="F6" s="1">
        <f>'Data Sheet'!F50</f>
        <v>16980</v>
      </c>
      <c r="G6" s="1">
        <f>'Data Sheet'!G50</f>
        <v>16875</v>
      </c>
      <c r="H6" s="1">
        <f>'Data Sheet'!H50</f>
        <v>17978</v>
      </c>
      <c r="I6" s="1">
        <f>'Data Sheet'!I50</f>
        <v>18269</v>
      </c>
      <c r="J6" s="1">
        <f>'Data Sheet'!J50</f>
        <v>19276</v>
      </c>
      <c r="K6" s="1">
        <f>'Data Sheet'!K50</f>
        <v>18556</v>
      </c>
    </row>
    <row r="7" spans="1:11" x14ac:dyDescent="0.35">
      <c r="A7" s="6" t="s">
        <v>9</v>
      </c>
      <c r="B7" s="9">
        <f>'Data Sheet'!B44</f>
        <v>1157</v>
      </c>
      <c r="C7" s="9">
        <f>'Data Sheet'!C44</f>
        <v>962</v>
      </c>
      <c r="D7" s="9">
        <f>'Data Sheet'!D44</f>
        <v>729</v>
      </c>
      <c r="E7" s="9">
        <f>'Data Sheet'!E44</f>
        <v>1243</v>
      </c>
      <c r="F7" s="9">
        <f>'Data Sheet'!F44</f>
        <v>1028</v>
      </c>
      <c r="G7" s="9">
        <f>'Data Sheet'!G44</f>
        <v>1660</v>
      </c>
      <c r="H7" s="9">
        <f>'Data Sheet'!H44</f>
        <v>-268</v>
      </c>
      <c r="I7" s="9">
        <f>'Data Sheet'!I44</f>
        <v>-2273</v>
      </c>
      <c r="J7" s="9">
        <f>'Data Sheet'!J44</f>
        <v>757</v>
      </c>
      <c r="K7" s="9">
        <f>'Data Sheet'!K44</f>
        <v>900</v>
      </c>
    </row>
    <row r="8" spans="1:11" x14ac:dyDescent="0.35">
      <c r="A8" s="6" t="s">
        <v>10</v>
      </c>
      <c r="B8" s="9">
        <f>'Data Sheet'!B45</f>
        <v>1246</v>
      </c>
      <c r="C8" s="9">
        <f>'Data Sheet'!C45</f>
        <v>1220</v>
      </c>
      <c r="D8" s="9">
        <f>'Data Sheet'!D45</f>
        <v>1266</v>
      </c>
      <c r="E8" s="9">
        <f>'Data Sheet'!E45</f>
        <v>1377</v>
      </c>
      <c r="F8" s="9">
        <f>'Data Sheet'!F45</f>
        <v>1379</v>
      </c>
      <c r="G8" s="9">
        <f>'Data Sheet'!G45</f>
        <v>1361</v>
      </c>
      <c r="H8" s="9">
        <f>'Data Sheet'!H45</f>
        <v>1413</v>
      </c>
      <c r="I8" s="9">
        <f>'Data Sheet'!I45</f>
        <v>1380</v>
      </c>
      <c r="J8" s="9">
        <f>'Data Sheet'!J45</f>
        <v>1406</v>
      </c>
      <c r="K8" s="9">
        <f>'Data Sheet'!K45</f>
        <v>1239</v>
      </c>
    </row>
    <row r="9" spans="1:11" x14ac:dyDescent="0.35">
      <c r="A9" s="6" t="s">
        <v>11</v>
      </c>
      <c r="B9" s="9">
        <f>'Data Sheet'!B46</f>
        <v>226</v>
      </c>
      <c r="C9" s="9">
        <f>'Data Sheet'!C46</f>
        <v>173</v>
      </c>
      <c r="D9" s="9">
        <f>'Data Sheet'!D46</f>
        <v>162</v>
      </c>
      <c r="E9" s="9">
        <f>'Data Sheet'!E46</f>
        <v>234</v>
      </c>
      <c r="F9" s="9">
        <f>'Data Sheet'!F46</f>
        <v>227</v>
      </c>
      <c r="G9" s="9">
        <f>'Data Sheet'!G46</f>
        <v>195</v>
      </c>
      <c r="H9" s="9">
        <f>'Data Sheet'!H46</f>
        <v>229</v>
      </c>
      <c r="I9" s="9">
        <f>'Data Sheet'!I46</f>
        <v>538</v>
      </c>
      <c r="J9" s="9">
        <f>'Data Sheet'!J46</f>
        <v>265</v>
      </c>
      <c r="K9" s="9">
        <f>'Data Sheet'!K46</f>
        <v>273</v>
      </c>
    </row>
    <row r="10" spans="1:11" x14ac:dyDescent="0.35">
      <c r="A10" s="6" t="s">
        <v>12</v>
      </c>
      <c r="B10" s="9">
        <f>'Data Sheet'!B47</f>
        <v>16849</v>
      </c>
      <c r="C10" s="9">
        <f>'Data Sheet'!C47</f>
        <v>16231</v>
      </c>
      <c r="D10" s="9">
        <f>'Data Sheet'!D47</f>
        <v>16032</v>
      </c>
      <c r="E10" s="9">
        <f>'Data Sheet'!E47</f>
        <v>16666</v>
      </c>
      <c r="F10" s="9">
        <f>'Data Sheet'!F47</f>
        <v>16402</v>
      </c>
      <c r="G10" s="9">
        <f>'Data Sheet'!G47</f>
        <v>16979</v>
      </c>
      <c r="H10" s="9">
        <f>'Data Sheet'!H47</f>
        <v>16068</v>
      </c>
      <c r="I10" s="9">
        <f>'Data Sheet'!I47</f>
        <v>14078</v>
      </c>
      <c r="J10" s="9">
        <f>'Data Sheet'!J47</f>
        <v>18362</v>
      </c>
      <c r="K10" s="9">
        <f>'Data Sheet'!K47</f>
        <v>17944</v>
      </c>
    </row>
    <row r="11" spans="1:11" x14ac:dyDescent="0.35">
      <c r="A11" s="6" t="s">
        <v>13</v>
      </c>
      <c r="B11" s="9">
        <f>'Data Sheet'!B48</f>
        <v>4347</v>
      </c>
      <c r="C11" s="9">
        <f>'Data Sheet'!C48</f>
        <v>4126</v>
      </c>
      <c r="D11" s="9">
        <f>'Data Sheet'!D48</f>
        <v>4077</v>
      </c>
      <c r="E11" s="9">
        <f>'Data Sheet'!E48</f>
        <v>4222</v>
      </c>
      <c r="F11" s="9">
        <f>'Data Sheet'!F48</f>
        <v>4109</v>
      </c>
      <c r="G11" s="9">
        <f>'Data Sheet'!G48</f>
        <v>4160</v>
      </c>
      <c r="H11" s="9">
        <f>'Data Sheet'!H48</f>
        <v>3937</v>
      </c>
      <c r="I11" s="9">
        <f>'Data Sheet'!I48</f>
        <v>3358</v>
      </c>
      <c r="J11" s="9">
        <f>'Data Sheet'!J48</f>
        <v>4578</v>
      </c>
      <c r="K11" s="9">
        <f>'Data Sheet'!K48</f>
        <v>4524</v>
      </c>
    </row>
    <row r="12" spans="1:11" s="8" customFormat="1" x14ac:dyDescent="0.35">
      <c r="A12" s="8" t="s">
        <v>14</v>
      </c>
      <c r="B12" s="1">
        <f>'Data Sheet'!B49</f>
        <v>12434</v>
      </c>
      <c r="C12" s="1">
        <f>'Data Sheet'!C49</f>
        <v>12040</v>
      </c>
      <c r="D12" s="1">
        <f>'Data Sheet'!D49</f>
        <v>11909</v>
      </c>
      <c r="E12" s="1">
        <f>'Data Sheet'!E49</f>
        <v>12380</v>
      </c>
      <c r="F12" s="1">
        <f>'Data Sheet'!F49</f>
        <v>12224</v>
      </c>
      <c r="G12" s="1">
        <f>'Data Sheet'!G49</f>
        <v>12760</v>
      </c>
      <c r="H12" s="1">
        <f>'Data Sheet'!H49</f>
        <v>12075</v>
      </c>
      <c r="I12" s="1">
        <f>'Data Sheet'!I49</f>
        <v>10657</v>
      </c>
      <c r="J12" s="1">
        <f>'Data Sheet'!J49</f>
        <v>13718</v>
      </c>
      <c r="K12" s="1">
        <f>'Data Sheet'!K49</f>
        <v>13349</v>
      </c>
    </row>
    <row r="14" spans="1:11" s="8" customFormat="1" x14ac:dyDescent="0.35">
      <c r="A14" s="2" t="s">
        <v>18</v>
      </c>
      <c r="B14" s="14">
        <f>IF(B4&gt;0,B6/B4,"")</f>
        <v>0.28028806113950716</v>
      </c>
      <c r="C14" s="14">
        <f t="shared" ref="C14:K14" si="0">IF(C4&gt;0,C6/C4,"")</f>
        <v>0.26611087154424801</v>
      </c>
      <c r="D14" s="14">
        <f t="shared" si="0"/>
        <v>0.2603681974509407</v>
      </c>
      <c r="E14" s="14">
        <f t="shared" si="0"/>
        <v>0.26626858205805576</v>
      </c>
      <c r="F14" s="14">
        <f t="shared" si="0"/>
        <v>0.2633415530637882</v>
      </c>
      <c r="G14" s="14">
        <f t="shared" si="0"/>
        <v>0.26601194886265112</v>
      </c>
      <c r="H14" s="14">
        <f t="shared" si="0"/>
        <v>0.27322603686986124</v>
      </c>
      <c r="I14" s="14">
        <f t="shared" si="0"/>
        <v>0.27231803479064498</v>
      </c>
      <c r="J14" s="14">
        <f t="shared" si="0"/>
        <v>0.27265269173102491</v>
      </c>
      <c r="K14" s="14">
        <f t="shared" si="0"/>
        <v>0.25674161189899691</v>
      </c>
    </row>
    <row r="22" s="30" customFormat="1" x14ac:dyDescent="0.35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9"/>
  <sheetViews>
    <sheetView zoomScale="85" zoomScaleNormal="85" workbookViewId="0">
      <selection activeCell="A10" sqref="A10"/>
    </sheetView>
  </sheetViews>
  <sheetFormatPr defaultColWidth="35" defaultRowHeight="18" customHeight="1" x14ac:dyDescent="0.35"/>
  <cols>
    <col min="3" max="3" width="21.26953125" bestFit="1" customWidth="1"/>
    <col min="4" max="4" width="42.81640625" bestFit="1" customWidth="1"/>
    <col min="5" max="7" width="12.7265625" customWidth="1"/>
  </cols>
  <sheetData>
    <row r="2" spans="3:7" ht="18" customHeight="1" x14ac:dyDescent="0.35">
      <c r="C2" s="77" t="s">
        <v>156</v>
      </c>
      <c r="D2" s="77"/>
      <c r="E2" s="77"/>
      <c r="F2" s="77"/>
    </row>
    <row r="4" spans="3:7" ht="18" customHeight="1" x14ac:dyDescent="0.35">
      <c r="C4" s="33" t="s">
        <v>102</v>
      </c>
      <c r="D4" s="33" t="s">
        <v>103</v>
      </c>
      <c r="E4" s="34" t="s">
        <v>96</v>
      </c>
      <c r="F4" s="34" t="s">
        <v>97</v>
      </c>
      <c r="G4" s="34" t="s">
        <v>98</v>
      </c>
    </row>
    <row r="5" spans="3:7" ht="18" customHeight="1" x14ac:dyDescent="0.35">
      <c r="C5" s="37" t="s">
        <v>104</v>
      </c>
      <c r="D5" s="35" t="s">
        <v>105</v>
      </c>
      <c r="E5" s="42">
        <v>0.193</v>
      </c>
      <c r="F5" s="42">
        <v>0.19</v>
      </c>
      <c r="G5" s="42">
        <v>0.19800000000000001</v>
      </c>
    </row>
    <row r="6" spans="3:7" ht="18" customHeight="1" x14ac:dyDescent="0.35">
      <c r="C6" s="37" t="s">
        <v>106</v>
      </c>
      <c r="D6" s="35" t="s">
        <v>107</v>
      </c>
      <c r="E6" s="42">
        <v>0.246</v>
      </c>
      <c r="F6" s="42">
        <v>0.24299999999999999</v>
      </c>
      <c r="G6" s="42">
        <v>0.25</v>
      </c>
    </row>
    <row r="7" spans="3:7" ht="18" customHeight="1" x14ac:dyDescent="0.35">
      <c r="C7" s="37" t="s">
        <v>108</v>
      </c>
      <c r="D7" s="35" t="s">
        <v>109</v>
      </c>
      <c r="E7" s="42">
        <v>0.51300000000000001</v>
      </c>
      <c r="F7" s="42">
        <v>0.52200000000000002</v>
      </c>
      <c r="G7" s="42">
        <v>0.51400000000000001</v>
      </c>
    </row>
    <row r="8" spans="3:7" ht="18" customHeight="1" x14ac:dyDescent="0.35">
      <c r="C8" s="37" t="s">
        <v>110</v>
      </c>
      <c r="D8" s="35" t="s">
        <v>111</v>
      </c>
      <c r="E8" s="34" t="s">
        <v>112</v>
      </c>
      <c r="F8" s="34" t="s">
        <v>113</v>
      </c>
      <c r="G8" s="34" t="s">
        <v>114</v>
      </c>
    </row>
    <row r="9" spans="3:7" ht="18" customHeight="1" x14ac:dyDescent="0.35">
      <c r="C9" s="37" t="s">
        <v>57</v>
      </c>
      <c r="D9" s="35" t="s">
        <v>115</v>
      </c>
      <c r="E9" s="43">
        <v>127.74</v>
      </c>
      <c r="F9" s="43">
        <v>134.19</v>
      </c>
      <c r="G9" s="43">
        <v>145.99</v>
      </c>
    </row>
  </sheetData>
  <mergeCells count="1">
    <mergeCell ref="C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Normal="100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H12" sqref="H12"/>
    </sheetView>
  </sheetViews>
  <sheetFormatPr defaultColWidth="8.81640625" defaultRowHeight="14.5" x14ac:dyDescent="0.35"/>
  <cols>
    <col min="1" max="1" width="22.81640625" style="11" bestFit="1" customWidth="1"/>
    <col min="2" max="2" width="13.453125" style="11" customWidth="1"/>
    <col min="3" max="11" width="15.453125" style="11" customWidth="1"/>
    <col min="12" max="16384" width="8.81640625" style="11"/>
  </cols>
  <sheetData>
    <row r="1" spans="1:11" s="8" customFormat="1" x14ac:dyDescent="0.35">
      <c r="A1" s="8" t="str">
        <f>'Profit &amp; Loss'!A1</f>
        <v>TATA CONSULTANCY SERVICES LTD</v>
      </c>
      <c r="E1" t="str">
        <f>UPDATE</f>
        <v/>
      </c>
      <c r="G1" s="4" t="s">
        <v>1</v>
      </c>
      <c r="J1" s="4"/>
      <c r="K1" s="4"/>
    </row>
    <row r="2" spans="1:11" x14ac:dyDescent="0.35">
      <c r="G2" s="8"/>
      <c r="H2" s="8"/>
    </row>
    <row r="3" spans="1:11" s="18" customFormat="1" x14ac:dyDescent="0.3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Sheet'!I56</f>
        <v>45382</v>
      </c>
      <c r="F3" s="16">
        <f>'Data Sheet'!J56</f>
        <v>45747</v>
      </c>
      <c r="G3" s="16">
        <f>'Data Sheet'!K56</f>
        <v>46112</v>
      </c>
    </row>
    <row r="4" spans="1:11" x14ac:dyDescent="0.35">
      <c r="A4" s="6" t="s">
        <v>24</v>
      </c>
      <c r="B4" s="19">
        <f>'Data Sheet'!B57</f>
        <v>197</v>
      </c>
      <c r="C4" s="19">
        <f>'Data Sheet'!C57</f>
        <v>191</v>
      </c>
      <c r="D4" s="19">
        <f>'Data Sheet'!D57</f>
        <v>375</v>
      </c>
      <c r="E4" s="19">
        <f>'Data Sheet'!I57</f>
        <v>362</v>
      </c>
      <c r="F4" s="19">
        <f>'Data Sheet'!J57</f>
        <v>362</v>
      </c>
      <c r="G4" s="19">
        <f>'Data Sheet'!K57</f>
        <v>362</v>
      </c>
    </row>
    <row r="5" spans="1:11" s="6" customFormat="1" x14ac:dyDescent="0.35">
      <c r="A5" s="6" t="s">
        <v>25</v>
      </c>
      <c r="B5" s="19">
        <f>'Data Sheet'!B58</f>
        <v>86017</v>
      </c>
      <c r="C5" s="19">
        <f>'Data Sheet'!C58</f>
        <v>84937</v>
      </c>
      <c r="D5" s="19">
        <f>'Data Sheet'!D58</f>
        <v>89071</v>
      </c>
      <c r="E5" s="19">
        <f>'Data Sheet'!I58</f>
        <v>90127</v>
      </c>
      <c r="F5" s="19">
        <f>'Data Sheet'!J58</f>
        <v>94394</v>
      </c>
      <c r="G5" s="19">
        <f>'Data Sheet'!K58</f>
        <v>106878</v>
      </c>
    </row>
    <row r="6" spans="1:11" x14ac:dyDescent="0.35">
      <c r="A6" s="11" t="s">
        <v>71</v>
      </c>
      <c r="B6" s="19">
        <f>'Data Sheet'!B59</f>
        <v>289</v>
      </c>
      <c r="C6" s="19">
        <f>'Data Sheet'!C59</f>
        <v>247</v>
      </c>
      <c r="D6" s="19">
        <f>'Data Sheet'!D59</f>
        <v>62</v>
      </c>
      <c r="E6" s="19">
        <f>'Data Sheet'!I59</f>
        <v>8021</v>
      </c>
      <c r="F6" s="19">
        <f>'Data Sheet'!J59</f>
        <v>9392</v>
      </c>
      <c r="G6" s="19">
        <f>'Data Sheet'!K59</f>
        <v>11283</v>
      </c>
    </row>
    <row r="7" spans="1:11" s="6" customFormat="1" x14ac:dyDescent="0.35">
      <c r="A7" s="11" t="s">
        <v>72</v>
      </c>
      <c r="B7" s="19">
        <f>'Data Sheet'!B60</f>
        <v>15830</v>
      </c>
      <c r="C7" s="19">
        <f>'Data Sheet'!C60</f>
        <v>19751</v>
      </c>
      <c r="D7" s="19">
        <f>'Data Sheet'!D60</f>
        <v>24393</v>
      </c>
      <c r="E7" s="19">
        <f>'Data Sheet'!I60</f>
        <v>46962</v>
      </c>
      <c r="F7" s="19">
        <f>'Data Sheet'!J60</f>
        <v>54501</v>
      </c>
      <c r="G7" s="19">
        <f>'Data Sheet'!K60</f>
        <v>62644</v>
      </c>
    </row>
    <row r="8" spans="1:11" s="8" customFormat="1" x14ac:dyDescent="0.35">
      <c r="A8" s="8" t="s">
        <v>26</v>
      </c>
      <c r="B8" s="20">
        <f>'Data Sheet'!B61</f>
        <v>102333</v>
      </c>
      <c r="C8" s="20">
        <f>'Data Sheet'!C61</f>
        <v>105126</v>
      </c>
      <c r="D8" s="20">
        <f>'Data Sheet'!D61</f>
        <v>113901</v>
      </c>
      <c r="E8" s="20">
        <f>'Data Sheet'!I61</f>
        <v>145472</v>
      </c>
      <c r="F8" s="20">
        <f>'Data Sheet'!J61</f>
        <v>158649</v>
      </c>
      <c r="G8" s="20">
        <f>'Data Sheet'!K61</f>
        <v>181167</v>
      </c>
    </row>
    <row r="9" spans="1:11" s="8" customFormat="1" x14ac:dyDescent="0.35">
      <c r="B9" s="20"/>
      <c r="C9" s="20"/>
      <c r="D9" s="20"/>
      <c r="E9" s="20"/>
      <c r="F9" s="20"/>
      <c r="G9" s="20"/>
    </row>
    <row r="10" spans="1:11" x14ac:dyDescent="0.35">
      <c r="A10" s="6" t="s">
        <v>27</v>
      </c>
      <c r="B10" s="19">
        <f>'Data Sheet'!B62</f>
        <v>11701</v>
      </c>
      <c r="C10" s="19">
        <f>'Data Sheet'!C62</f>
        <v>11973</v>
      </c>
      <c r="D10" s="19">
        <f>'Data Sheet'!D62</f>
        <v>12290</v>
      </c>
      <c r="E10" s="19">
        <f>'Data Sheet'!I62</f>
        <v>19604</v>
      </c>
      <c r="F10" s="19">
        <f>'Data Sheet'!J62</f>
        <v>23053</v>
      </c>
      <c r="G10" s="19">
        <f>'Data Sheet'!K62</f>
        <v>31343</v>
      </c>
    </row>
    <row r="11" spans="1:11" x14ac:dyDescent="0.35">
      <c r="A11" s="6" t="s">
        <v>28</v>
      </c>
      <c r="B11" s="19">
        <f>'Data Sheet'!B63</f>
        <v>1541</v>
      </c>
      <c r="C11" s="19">
        <f>'Data Sheet'!C63</f>
        <v>1278</v>
      </c>
      <c r="D11" s="19">
        <f>'Data Sheet'!D63</f>
        <v>963</v>
      </c>
      <c r="E11" s="19">
        <f>'Data Sheet'!I63</f>
        <v>1564</v>
      </c>
      <c r="F11" s="19">
        <f>'Data Sheet'!J63</f>
        <v>1546</v>
      </c>
      <c r="G11" s="19">
        <f>'Data Sheet'!K63</f>
        <v>2665</v>
      </c>
    </row>
    <row r="12" spans="1:11" x14ac:dyDescent="0.35">
      <c r="A12" s="6" t="s">
        <v>29</v>
      </c>
      <c r="B12" s="19">
        <f>'Data Sheet'!B64</f>
        <v>41980</v>
      </c>
      <c r="C12" s="19">
        <f>'Data Sheet'!C64</f>
        <v>36008</v>
      </c>
      <c r="D12" s="19">
        <f>'Data Sheet'!D64</f>
        <v>29330</v>
      </c>
      <c r="E12" s="19">
        <f>'Data Sheet'!I64</f>
        <v>31762</v>
      </c>
      <c r="F12" s="19">
        <f>'Data Sheet'!J64</f>
        <v>30964</v>
      </c>
      <c r="G12" s="19">
        <f>'Data Sheet'!K64</f>
        <v>33988</v>
      </c>
    </row>
    <row r="13" spans="1:11" x14ac:dyDescent="0.35">
      <c r="A13" s="11" t="s">
        <v>73</v>
      </c>
      <c r="B13" s="19">
        <f>'Data Sheet'!B65</f>
        <v>47111</v>
      </c>
      <c r="C13" s="19">
        <f>'Data Sheet'!C65</f>
        <v>55867</v>
      </c>
      <c r="D13" s="19">
        <f>'Data Sheet'!D65</f>
        <v>71318</v>
      </c>
      <c r="E13" s="19">
        <f>'Data Sheet'!I65</f>
        <v>92542</v>
      </c>
      <c r="F13" s="19">
        <f>'Data Sheet'!J65</f>
        <v>103086</v>
      </c>
      <c r="G13" s="19">
        <f>'Data Sheet'!K65</f>
        <v>113171</v>
      </c>
    </row>
    <row r="14" spans="1:11" s="8" customFormat="1" x14ac:dyDescent="0.35">
      <c r="A14" s="8" t="s">
        <v>26</v>
      </c>
      <c r="B14" s="19">
        <f>'Data Sheet'!B66</f>
        <v>102333</v>
      </c>
      <c r="C14" s="19">
        <f>'Data Sheet'!C66</f>
        <v>105126</v>
      </c>
      <c r="D14" s="19">
        <f>'Data Sheet'!D66</f>
        <v>113901</v>
      </c>
      <c r="E14" s="19">
        <f>'Data Sheet'!I66</f>
        <v>145472</v>
      </c>
      <c r="F14" s="19">
        <f>'Data Sheet'!J66</f>
        <v>158649</v>
      </c>
      <c r="G14" s="19">
        <f>'Data Sheet'!K66</f>
        <v>181167</v>
      </c>
    </row>
    <row r="15" spans="1:11" x14ac:dyDescent="0.35">
      <c r="A15" s="6"/>
      <c r="B15" s="21"/>
      <c r="C15" s="21"/>
      <c r="D15" s="21"/>
      <c r="E15" s="21"/>
      <c r="F15" s="21"/>
      <c r="G15" s="21"/>
    </row>
    <row r="16" spans="1:11" x14ac:dyDescent="0.35">
      <c r="A16" s="29" t="s">
        <v>30</v>
      </c>
      <c r="B16" s="21">
        <f>B13-B7</f>
        <v>31281</v>
      </c>
      <c r="C16" s="21">
        <f t="shared" ref="C16:G16" si="0">C13-C7</f>
        <v>36116</v>
      </c>
      <c r="D16" s="21">
        <f t="shared" si="0"/>
        <v>46925</v>
      </c>
      <c r="E16" s="21">
        <f t="shared" si="0"/>
        <v>45580</v>
      </c>
      <c r="F16" s="21">
        <f t="shared" si="0"/>
        <v>48585</v>
      </c>
      <c r="G16" s="21">
        <f t="shared" si="0"/>
        <v>50527</v>
      </c>
    </row>
    <row r="17" spans="1:7" x14ac:dyDescent="0.35">
      <c r="A17" s="11" t="s">
        <v>44</v>
      </c>
      <c r="B17" s="21">
        <f>'Data Sheet'!B67</f>
        <v>22617</v>
      </c>
      <c r="C17" s="21">
        <f>'Data Sheet'!C67</f>
        <v>24943</v>
      </c>
      <c r="D17" s="21">
        <f>'Data Sheet'!D67</f>
        <v>27346</v>
      </c>
      <c r="E17" s="21">
        <f>'Data Sheet'!I67</f>
        <v>53577</v>
      </c>
      <c r="F17" s="21">
        <f>'Data Sheet'!J67</f>
        <v>59046</v>
      </c>
      <c r="G17" s="21">
        <f>'Data Sheet'!K67</f>
        <v>67714</v>
      </c>
    </row>
    <row r="18" spans="1:7" x14ac:dyDescent="0.35">
      <c r="A18" s="11" t="s">
        <v>45</v>
      </c>
      <c r="B18" s="21">
        <f>'Data Sheet'!B68</f>
        <v>21</v>
      </c>
      <c r="C18" s="21">
        <f>'Data Sheet'!C68</f>
        <v>26</v>
      </c>
      <c r="D18" s="21">
        <f>'Data Sheet'!D68</f>
        <v>10</v>
      </c>
      <c r="E18" s="21">
        <f>'Data Sheet'!I68</f>
        <v>28</v>
      </c>
      <c r="F18" s="21">
        <f>'Data Sheet'!J68</f>
        <v>21</v>
      </c>
      <c r="G18" s="21">
        <f>'Data Sheet'!K68</f>
        <v>29</v>
      </c>
    </row>
    <row r="20" spans="1:7" x14ac:dyDescent="0.35">
      <c r="A20" s="11" t="s">
        <v>46</v>
      </c>
      <c r="B20" s="5">
        <f>IF('Profit &amp; Loss'!B4&gt;0,'Balance Sheet'!B17/('Profit &amp; Loss'!B4/365),0)</f>
        <v>69.979527999593103</v>
      </c>
      <c r="C20" s="5">
        <f>IF('Profit &amp; Loss'!C4&gt;0,'Balance Sheet'!C17/('Profit &amp; Loss'!C4/365),0)</f>
        <v>73.955314205874714</v>
      </c>
      <c r="D20" s="5">
        <f>IF('Profit &amp; Loss'!D4&gt;0,'Balance Sheet'!D17/('Profit &amp; Loss'!D4/365),0)</f>
        <v>68.148884018489312</v>
      </c>
      <c r="E20" s="5">
        <f>IF('Profit &amp; Loss'!I4&gt;0,'Balance Sheet'!E17/('Profit &amp; Loss'!I4/365),0)</f>
        <v>81.179631620678052</v>
      </c>
      <c r="F20" s="5">
        <f>IF('Profit &amp; Loss'!J4&gt;0,'Balance Sheet'!F17/('Profit &amp; Loss'!J4/365),0)</f>
        <v>84.409573718099367</v>
      </c>
      <c r="G20" s="5">
        <f>IF('Profit &amp; Loss'!K4&gt;0,'Balance Sheet'!G17/('Profit &amp; Loss'!K4/365),0)</f>
        <v>92.560547672280464</v>
      </c>
    </row>
    <row r="21" spans="1:7" x14ac:dyDescent="0.35">
      <c r="A21" s="11" t="s">
        <v>47</v>
      </c>
      <c r="B21" s="5">
        <f>IF('Balance Sheet'!B18&gt;0,'Profit &amp; Loss'!B4/'Balance Sheet'!B18,0)</f>
        <v>5617.4285714285716</v>
      </c>
      <c r="C21" s="5">
        <f>IF('Balance Sheet'!C18&gt;0,'Profit &amp; Loss'!C4/'Balance Sheet'!C18,0)</f>
        <v>4734.7692307692305</v>
      </c>
      <c r="D21" s="5">
        <f>IF('Balance Sheet'!D18&gt;0,'Profit &amp; Loss'!D4/'Balance Sheet'!D18,0)</f>
        <v>14646.3</v>
      </c>
      <c r="E21" s="5">
        <f>IF('Balance Sheet'!E18&gt;0,'Profit &amp; Loss'!I4/'Balance Sheet'!E18,0)</f>
        <v>8603.3214285714294</v>
      </c>
      <c r="F21" s="5">
        <f>IF('Balance Sheet'!F18&gt;0,'Profit &amp; Loss'!J4/'Balance Sheet'!F18,0)</f>
        <v>12158.285714285714</v>
      </c>
      <c r="G21" s="5">
        <f>IF('Balance Sheet'!G18&gt;0,'Profit &amp; Loss'!K4/'Balance Sheet'!G18,0)</f>
        <v>9207.6206896551721</v>
      </c>
    </row>
    <row r="23" spans="1:7" s="8" customFormat="1" x14ac:dyDescent="0.35">
      <c r="A23" s="8" t="s">
        <v>59</v>
      </c>
      <c r="B23" s="14">
        <f>IF(SUM('Balance Sheet'!B4:B5)&gt;0,'Profit &amp; Loss'!B12/SUM('Balance Sheet'!B4:B5),"")</f>
        <v>0.30492727399262298</v>
      </c>
      <c r="C23" s="14">
        <f>IF(SUM('Balance Sheet'!C4:C5)&gt;0,'Profit &amp; Loss'!C12/SUM('Balance Sheet'!C4:C5),"")</f>
        <v>0.30337844187576357</v>
      </c>
      <c r="D23" s="14">
        <f>IF(SUM('Balance Sheet'!D4:D5)&gt;0,'Profit &amp; Loss'!D12/SUM('Balance Sheet'!D4:D5),"")</f>
        <v>0.35185475035216779</v>
      </c>
      <c r="E23" s="14">
        <f>IF(SUM('Balance Sheet'!E4:E5)&gt;0,'Profit &amp; Loss'!I12/SUM('Balance Sheet'!E4:E5),"")</f>
        <v>0.50733238294157301</v>
      </c>
      <c r="F23" s="14">
        <f>IF(SUM('Balance Sheet'!F4:F5)&gt;0,'Profit &amp; Loss'!J12/SUM('Balance Sheet'!F4:F5),"")</f>
        <v>0.51240027016758838</v>
      </c>
      <c r="G23" s="14">
        <f>IF(SUM('Balance Sheet'!G4:G5)&gt;0,'Profit &amp; Loss'!K12/SUM('Balance Sheet'!G4:G5),"")</f>
        <v>0.45887728459530025</v>
      </c>
    </row>
    <row r="24" spans="1:7" s="8" customFormat="1" x14ac:dyDescent="0.35">
      <c r="A24" s="8" t="s">
        <v>60</v>
      </c>
      <c r="B24" s="14"/>
      <c r="C24" s="14">
        <f>IF((B4+B5+B6+C4+C5+C6)&gt;0,('Profit &amp; Loss'!C10+'Profit &amp; Loss'!C9)*2/(B4+B5+B6+C4+C5+C6),"")</f>
        <v>0.39730506522067977</v>
      </c>
      <c r="D24" s="14">
        <f>IF((C4+C5+C6+D4+D5+D6)&gt;0,('Profit &amp; Loss'!D10+'Profit &amp; Loss'!D9)*2/(C4+C5+C6+D4+D5+D6),"")</f>
        <v>0.47758787303511491</v>
      </c>
      <c r="E24" s="14" t="e">
        <f>IF((#REF!+#REF!+#REF!+E4+E5+E6)&gt;0,('Profit &amp; Loss'!I10+'Profit &amp; Loss'!I9)*2/(#REF!+#REF!+#REF!+E4+E5+E6),"")</f>
        <v>#REF!</v>
      </c>
      <c r="F24" s="14">
        <f>IF((E4+E5+E6+F4+F5+F6)&gt;0,('Profit &amp; Loss'!J10+'Profit &amp; Loss'!J9)*2/(E4+E5+E6+F4+F5+F6),"")</f>
        <v>0.65259698605532468</v>
      </c>
      <c r="G24" s="14">
        <f>IF((F4+F5+F6+G4+G5+G6)&gt;0,('Profit &amp; Loss'!K10+'Profit &amp; Loss'!K9)*2/(F4+F5+F6+G4+G5+G6),"")</f>
        <v>0.59921588352322486</v>
      </c>
    </row>
    <row r="25" spans="1:7" s="18" customFormat="1" x14ac:dyDescent="0.35"/>
  </sheetData>
  <hyperlinks>
    <hyperlink ref="G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15" zoomScaleNormal="115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8.81640625" defaultRowHeight="14.5" x14ac:dyDescent="0.35"/>
  <cols>
    <col min="1" max="1" width="30.08984375" style="6" bestFit="1" customWidth="1"/>
    <col min="2" max="4" width="10.36328125" style="6" bestFit="1" customWidth="1"/>
    <col min="5" max="6" width="13.453125" style="6" customWidth="1"/>
    <col min="7" max="11" width="13.453125" style="6" bestFit="1" customWidth="1"/>
    <col min="12" max="16384" width="8.81640625" style="6"/>
  </cols>
  <sheetData>
    <row r="1" spans="1:11" s="8" customFormat="1" x14ac:dyDescent="0.35">
      <c r="A1" s="8" t="str">
        <f>'Balance Sheet'!A1</f>
        <v>TATA CONSULTANCY SERVICES LTD</v>
      </c>
      <c r="E1" t="str">
        <f>UPDATE</f>
        <v/>
      </c>
      <c r="F1"/>
      <c r="J1" s="4" t="s">
        <v>1</v>
      </c>
      <c r="K1" s="4"/>
    </row>
    <row r="3" spans="1:11" s="2" customFormat="1" x14ac:dyDescent="0.35">
      <c r="A3" s="33" t="s">
        <v>93</v>
      </c>
      <c r="B3" s="34" t="s">
        <v>96</v>
      </c>
      <c r="C3" s="34" t="s">
        <v>97</v>
      </c>
      <c r="D3" s="34" t="s">
        <v>98</v>
      </c>
    </row>
    <row r="4" spans="1:11" s="8" customFormat="1" x14ac:dyDescent="0.35">
      <c r="A4" s="37" t="s">
        <v>116</v>
      </c>
      <c r="B4" s="36">
        <v>44338</v>
      </c>
      <c r="C4" s="36">
        <v>48908</v>
      </c>
      <c r="D4" s="36">
        <v>52094</v>
      </c>
    </row>
    <row r="5" spans="1:11" x14ac:dyDescent="0.35">
      <c r="A5" s="37" t="s">
        <v>117</v>
      </c>
      <c r="B5" s="36">
        <v>6026</v>
      </c>
      <c r="C5" s="36">
        <v>-2318</v>
      </c>
      <c r="D5" s="36">
        <v>-12845</v>
      </c>
    </row>
    <row r="6" spans="1:11" x14ac:dyDescent="0.35">
      <c r="A6" s="37" t="s">
        <v>118</v>
      </c>
      <c r="B6" s="36">
        <v>-48536</v>
      </c>
      <c r="C6" s="36">
        <v>-47438</v>
      </c>
      <c r="D6" s="36">
        <v>-42133</v>
      </c>
    </row>
    <row r="7" spans="1:11" s="8" customFormat="1" x14ac:dyDescent="0.35">
      <c r="A7" s="37" t="s">
        <v>35</v>
      </c>
      <c r="B7" s="38">
        <v>1828</v>
      </c>
      <c r="C7" s="34">
        <v>-848</v>
      </c>
      <c r="D7" s="38">
        <v>-2884</v>
      </c>
    </row>
    <row r="8" spans="1:11" ht="29" x14ac:dyDescent="0.35">
      <c r="A8" s="37" t="s">
        <v>119</v>
      </c>
      <c r="B8" s="36">
        <v>7123</v>
      </c>
      <c r="C8" s="36">
        <v>9016</v>
      </c>
      <c r="D8" s="36">
        <v>8342</v>
      </c>
      <c r="E8" s="9"/>
      <c r="F8" s="9"/>
      <c r="G8" s="9"/>
      <c r="H8" s="9"/>
      <c r="I8" s="9"/>
      <c r="J8" s="9"/>
      <c r="K8" s="9"/>
    </row>
    <row r="9" spans="1:11" ht="29" x14ac:dyDescent="0.35">
      <c r="A9" s="37" t="s">
        <v>120</v>
      </c>
      <c r="B9" s="38">
        <v>9016</v>
      </c>
      <c r="C9" s="38">
        <v>8342</v>
      </c>
      <c r="D9" s="38">
        <v>6417</v>
      </c>
    </row>
    <row r="24" s="29" customFormat="1" x14ac:dyDescent="0.3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topLeftCell="A10"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8"/>
    <col min="2" max="2" width="10.453125" style="11" customWidth="1"/>
    <col min="3" max="3" width="13.36328125" style="26" customWidth="1"/>
    <col min="4" max="5" width="8.81640625" style="11"/>
    <col min="6" max="6" width="6.81640625" style="11" customWidth="1"/>
    <col min="7" max="16384" width="8.81640625" style="11"/>
  </cols>
  <sheetData>
    <row r="1" spans="1:7" ht="21" x14ac:dyDescent="0.5">
      <c r="A1" s="25" t="s">
        <v>56</v>
      </c>
    </row>
    <row r="3" spans="1:7" x14ac:dyDescent="0.35">
      <c r="A3" s="8" t="s">
        <v>48</v>
      </c>
    </row>
    <row r="4" spans="1:7" x14ac:dyDescent="0.35">
      <c r="B4" s="11" t="s">
        <v>90</v>
      </c>
    </row>
    <row r="5" spans="1:7" x14ac:dyDescent="0.35">
      <c r="B5" s="11" t="s">
        <v>49</v>
      </c>
    </row>
    <row r="7" spans="1:7" x14ac:dyDescent="0.35">
      <c r="A7" s="8" t="s">
        <v>50</v>
      </c>
    </row>
    <row r="8" spans="1:7" x14ac:dyDescent="0.35">
      <c r="B8" s="11" t="s">
        <v>51</v>
      </c>
      <c r="C8" s="27" t="s">
        <v>91</v>
      </c>
    </row>
    <row r="10" spans="1:7" x14ac:dyDescent="0.35">
      <c r="A10" s="8" t="s">
        <v>52</v>
      </c>
    </row>
    <row r="11" spans="1:7" x14ac:dyDescent="0.35">
      <c r="B11" s="11" t="s">
        <v>53</v>
      </c>
    </row>
    <row r="14" spans="1:7" x14ac:dyDescent="0.35">
      <c r="A14" s="8" t="s">
        <v>54</v>
      </c>
    </row>
    <row r="15" spans="1:7" x14ac:dyDescent="0.35">
      <c r="B15" s="11" t="s">
        <v>55</v>
      </c>
    </row>
    <row r="16" spans="1:7" x14ac:dyDescent="0.35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55" zoomScaleNormal="55" zoomScalePageLayoutView="120" workbookViewId="0">
      <pane xSplit="1" ySplit="1" topLeftCell="E56" activePane="bottomRight" state="frozen"/>
      <selection activeCell="C4" sqref="C4"/>
      <selection pane="topRight" activeCell="C4" sqref="C4"/>
      <selection pane="bottomLeft" activeCell="C4" sqref="C4"/>
      <selection pane="bottomRight" activeCell="O17" sqref="O17"/>
    </sheetView>
  </sheetViews>
  <sheetFormatPr defaultColWidth="8.81640625" defaultRowHeight="14.5" x14ac:dyDescent="0.35"/>
  <cols>
    <col min="1" max="1" width="27.6328125" style="5" bestFit="1" customWidth="1"/>
    <col min="2" max="11" width="13.453125" style="5" bestFit="1" customWidth="1"/>
    <col min="12" max="16384" width="8.81640625" style="5"/>
  </cols>
  <sheetData>
    <row r="1" spans="1:11" s="1" customFormat="1" x14ac:dyDescent="0.35">
      <c r="A1" s="1" t="s">
        <v>0</v>
      </c>
      <c r="B1" s="1" t="s">
        <v>63</v>
      </c>
      <c r="E1" s="78" t="str">
        <f>IF(B2&lt;&gt;B3, "A NEW VERSION OF THE WORKSHEET IS AVAILABLE", "")</f>
        <v/>
      </c>
      <c r="F1" s="78"/>
      <c r="G1" s="78"/>
      <c r="H1" s="78"/>
      <c r="I1" s="78"/>
      <c r="J1" s="78"/>
      <c r="K1" s="78"/>
    </row>
    <row r="2" spans="1:11" x14ac:dyDescent="0.35">
      <c r="A2" s="1" t="s">
        <v>61</v>
      </c>
      <c r="B2" s="5">
        <v>2.1</v>
      </c>
      <c r="E2" s="79" t="s">
        <v>36</v>
      </c>
      <c r="F2" s="79"/>
      <c r="G2" s="79"/>
      <c r="H2" s="79"/>
      <c r="I2" s="79"/>
      <c r="J2" s="79"/>
      <c r="K2" s="79"/>
    </row>
    <row r="3" spans="1:11" x14ac:dyDescent="0.35">
      <c r="A3" s="1" t="s">
        <v>62</v>
      </c>
      <c r="B3" s="5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5" t="s">
        <v>42</v>
      </c>
      <c r="B6" s="5">
        <f>IF(B9&gt;0, B9/B8, 0)</f>
        <v>361.8087775784947</v>
      </c>
    </row>
    <row r="7" spans="1:11" x14ac:dyDescent="0.35">
      <c r="A7" s="5" t="s">
        <v>31</v>
      </c>
      <c r="B7">
        <v>1</v>
      </c>
    </row>
    <row r="8" spans="1:11" x14ac:dyDescent="0.35">
      <c r="A8" s="5" t="s">
        <v>43</v>
      </c>
      <c r="B8">
        <v>2313.85</v>
      </c>
    </row>
    <row r="9" spans="1:11" x14ac:dyDescent="0.35">
      <c r="A9" s="5" t="s">
        <v>79</v>
      </c>
      <c r="B9">
        <v>837171.24</v>
      </c>
    </row>
    <row r="15" spans="1:11" x14ac:dyDescent="0.35">
      <c r="A15" s="1" t="s">
        <v>37</v>
      </c>
    </row>
    <row r="16" spans="1:11" s="24" customFormat="1" x14ac:dyDescent="0.3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5">
      <c r="A17" s="9" t="s">
        <v>6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9" customFormat="1" x14ac:dyDescent="0.35">
      <c r="A18" s="5" t="s">
        <v>80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9" customFormat="1" x14ac:dyDescent="0.35">
      <c r="A19" s="5" t="s">
        <v>81</v>
      </c>
      <c r="B19">
        <v>1</v>
      </c>
    </row>
    <row r="20" spans="1:11" s="9" customFormat="1" x14ac:dyDescent="0.35">
      <c r="A20" s="5" t="s">
        <v>82</v>
      </c>
    </row>
    <row r="21" spans="1:11" s="9" customFormat="1" x14ac:dyDescent="0.35">
      <c r="A21" s="5" t="s">
        <v>83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9" customFormat="1" x14ac:dyDescent="0.35">
      <c r="A22" s="5" t="s">
        <v>84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9" customFormat="1" x14ac:dyDescent="0.35">
      <c r="A23" s="5" t="s">
        <v>85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9" customFormat="1" x14ac:dyDescent="0.35">
      <c r="A24" s="5" t="s">
        <v>86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9" customFormat="1" x14ac:dyDescent="0.35">
      <c r="A25" s="9" t="s">
        <v>9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9" customFormat="1" x14ac:dyDescent="0.35">
      <c r="A26" s="9" t="s">
        <v>10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9" customFormat="1" x14ac:dyDescent="0.35">
      <c r="A27" s="9" t="s">
        <v>11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9" customFormat="1" x14ac:dyDescent="0.35">
      <c r="A28" s="9" t="s">
        <v>12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9" customFormat="1" x14ac:dyDescent="0.35">
      <c r="A29" s="9" t="s">
        <v>13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9" customFormat="1" x14ac:dyDescent="0.35">
      <c r="A30" s="9" t="s">
        <v>14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9" customFormat="1" x14ac:dyDescent="0.35">
      <c r="A31" s="9" t="s">
        <v>70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9" customFormat="1" x14ac:dyDescent="0.35"/>
    <row r="33" spans="1:11" x14ac:dyDescent="0.35">
      <c r="A33" s="9"/>
    </row>
    <row r="34" spans="1:11" x14ac:dyDescent="0.35">
      <c r="A34" s="9"/>
    </row>
    <row r="35" spans="1:11" x14ac:dyDescent="0.35">
      <c r="A35" s="9"/>
    </row>
    <row r="36" spans="1:11" x14ac:dyDescent="0.35">
      <c r="A36" s="9"/>
    </row>
    <row r="37" spans="1:11" x14ac:dyDescent="0.35">
      <c r="A37" s="9"/>
    </row>
    <row r="38" spans="1:11" x14ac:dyDescent="0.35">
      <c r="A38" s="9"/>
    </row>
    <row r="39" spans="1:11" x14ac:dyDescent="0.35">
      <c r="A39" s="9"/>
    </row>
    <row r="40" spans="1:11" x14ac:dyDescent="0.35">
      <c r="A40" s="1" t="s">
        <v>39</v>
      </c>
    </row>
    <row r="41" spans="1:11" s="24" customFormat="1" x14ac:dyDescent="0.35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5">
      <c r="A42" s="9" t="s">
        <v>6</v>
      </c>
      <c r="B42">
        <v>61237</v>
      </c>
      <c r="C42">
        <v>62613</v>
      </c>
      <c r="D42">
        <v>64259</v>
      </c>
      <c r="E42">
        <v>63973</v>
      </c>
      <c r="F42">
        <v>64479</v>
      </c>
      <c r="G42">
        <v>63437</v>
      </c>
      <c r="H42">
        <v>65799</v>
      </c>
      <c r="I42">
        <v>67087</v>
      </c>
      <c r="J42">
        <v>70698</v>
      </c>
      <c r="K42">
        <v>72275</v>
      </c>
    </row>
    <row r="43" spans="1:11" s="9" customFormat="1" x14ac:dyDescent="0.35">
      <c r="A43" s="9" t="s">
        <v>7</v>
      </c>
      <c r="B43">
        <v>44073</v>
      </c>
      <c r="C43">
        <v>45951</v>
      </c>
      <c r="D43">
        <v>47528</v>
      </c>
      <c r="E43">
        <v>46939</v>
      </c>
      <c r="F43">
        <v>47499</v>
      </c>
      <c r="G43">
        <v>46562</v>
      </c>
      <c r="H43">
        <v>47821</v>
      </c>
      <c r="I43">
        <v>48818</v>
      </c>
      <c r="J43">
        <v>51422</v>
      </c>
      <c r="K43">
        <v>53719</v>
      </c>
    </row>
    <row r="44" spans="1:11" s="9" customFormat="1" x14ac:dyDescent="0.35">
      <c r="A44" s="9" t="s">
        <v>9</v>
      </c>
      <c r="B44">
        <v>1157</v>
      </c>
      <c r="C44">
        <v>962</v>
      </c>
      <c r="D44">
        <v>729</v>
      </c>
      <c r="E44">
        <v>1243</v>
      </c>
      <c r="F44">
        <v>1028</v>
      </c>
      <c r="G44">
        <v>1660</v>
      </c>
      <c r="H44">
        <v>-268</v>
      </c>
      <c r="I44">
        <v>-2273</v>
      </c>
      <c r="J44">
        <v>757</v>
      </c>
      <c r="K44">
        <v>900</v>
      </c>
    </row>
    <row r="45" spans="1:11" s="9" customFormat="1" x14ac:dyDescent="0.35">
      <c r="A45" s="9" t="s">
        <v>10</v>
      </c>
      <c r="B45">
        <v>1246</v>
      </c>
      <c r="C45">
        <v>1220</v>
      </c>
      <c r="D45">
        <v>1266</v>
      </c>
      <c r="E45">
        <v>1377</v>
      </c>
      <c r="F45">
        <v>1379</v>
      </c>
      <c r="G45">
        <v>1361</v>
      </c>
      <c r="H45">
        <v>1413</v>
      </c>
      <c r="I45">
        <v>1380</v>
      </c>
      <c r="J45">
        <v>1406</v>
      </c>
      <c r="K45">
        <v>1239</v>
      </c>
    </row>
    <row r="46" spans="1:11" s="9" customFormat="1" x14ac:dyDescent="0.35">
      <c r="A46" s="9" t="s">
        <v>11</v>
      </c>
      <c r="B46">
        <v>226</v>
      </c>
      <c r="C46">
        <v>173</v>
      </c>
      <c r="D46">
        <v>162</v>
      </c>
      <c r="E46">
        <v>234</v>
      </c>
      <c r="F46">
        <v>227</v>
      </c>
      <c r="G46">
        <v>195</v>
      </c>
      <c r="H46">
        <v>229</v>
      </c>
      <c r="I46">
        <v>538</v>
      </c>
      <c r="J46">
        <v>265</v>
      </c>
      <c r="K46">
        <v>273</v>
      </c>
    </row>
    <row r="47" spans="1:11" s="9" customFormat="1" x14ac:dyDescent="0.35">
      <c r="A47" s="9" t="s">
        <v>12</v>
      </c>
      <c r="B47">
        <v>16849</v>
      </c>
      <c r="C47">
        <v>16231</v>
      </c>
      <c r="D47">
        <v>16032</v>
      </c>
      <c r="E47">
        <v>16666</v>
      </c>
      <c r="F47">
        <v>16402</v>
      </c>
      <c r="G47">
        <v>16979</v>
      </c>
      <c r="H47">
        <v>16068</v>
      </c>
      <c r="I47">
        <v>14078</v>
      </c>
      <c r="J47">
        <v>18362</v>
      </c>
      <c r="K47">
        <v>17944</v>
      </c>
    </row>
    <row r="48" spans="1:11" s="9" customFormat="1" x14ac:dyDescent="0.35">
      <c r="A48" s="9" t="s">
        <v>13</v>
      </c>
      <c r="B48">
        <v>4347</v>
      </c>
      <c r="C48">
        <v>4126</v>
      </c>
      <c r="D48">
        <v>4077</v>
      </c>
      <c r="E48">
        <v>4222</v>
      </c>
      <c r="F48">
        <v>4109</v>
      </c>
      <c r="G48">
        <v>4160</v>
      </c>
      <c r="H48">
        <v>3937</v>
      </c>
      <c r="I48">
        <v>3358</v>
      </c>
      <c r="J48">
        <v>4578</v>
      </c>
      <c r="K48">
        <v>4524</v>
      </c>
    </row>
    <row r="49" spans="1:11" s="9" customFormat="1" x14ac:dyDescent="0.35">
      <c r="A49" s="9" t="s">
        <v>14</v>
      </c>
      <c r="B49">
        <v>12434</v>
      </c>
      <c r="C49">
        <v>12040</v>
      </c>
      <c r="D49">
        <v>11909</v>
      </c>
      <c r="E49">
        <v>12380</v>
      </c>
      <c r="F49">
        <v>12224</v>
      </c>
      <c r="G49">
        <v>12760</v>
      </c>
      <c r="H49">
        <v>12075</v>
      </c>
      <c r="I49">
        <v>10657</v>
      </c>
      <c r="J49">
        <v>13718</v>
      </c>
      <c r="K49">
        <v>13349</v>
      </c>
    </row>
    <row r="50" spans="1:11" x14ac:dyDescent="0.35">
      <c r="A50" s="9" t="s">
        <v>8</v>
      </c>
      <c r="B50">
        <v>17164</v>
      </c>
      <c r="C50">
        <v>16662</v>
      </c>
      <c r="D50">
        <v>16731</v>
      </c>
      <c r="E50">
        <v>17034</v>
      </c>
      <c r="F50">
        <v>16980</v>
      </c>
      <c r="G50">
        <v>16875</v>
      </c>
      <c r="H50">
        <v>17978</v>
      </c>
      <c r="I50">
        <v>18269</v>
      </c>
      <c r="J50">
        <v>19276</v>
      </c>
      <c r="K50">
        <v>18556</v>
      </c>
    </row>
    <row r="51" spans="1:11" x14ac:dyDescent="0.35">
      <c r="A51" s="9"/>
    </row>
    <row r="52" spans="1:11" x14ac:dyDescent="0.35">
      <c r="A52" s="9"/>
    </row>
    <row r="53" spans="1:11" x14ac:dyDescent="0.35">
      <c r="A53" s="9"/>
    </row>
    <row r="54" spans="1:11" x14ac:dyDescent="0.35">
      <c r="A54" s="9"/>
    </row>
    <row r="55" spans="1:11" x14ac:dyDescent="0.35">
      <c r="A55" s="1" t="s">
        <v>40</v>
      </c>
    </row>
    <row r="56" spans="1:11" s="24" customFormat="1" x14ac:dyDescent="0.3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5">
      <c r="A57" s="9" t="s">
        <v>24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35">
      <c r="A58" s="9" t="s">
        <v>25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35">
      <c r="A59" s="9" t="s">
        <v>71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35">
      <c r="A60" s="9" t="s">
        <v>72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1" customFormat="1" x14ac:dyDescent="0.35">
      <c r="A61" s="1" t="s">
        <v>26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35">
      <c r="A62" s="9" t="s">
        <v>27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35">
      <c r="A63" s="9" t="s">
        <v>28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35">
      <c r="A64" s="9" t="s">
        <v>29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35">
      <c r="A65" s="9" t="s">
        <v>73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1" customFormat="1" x14ac:dyDescent="0.35">
      <c r="A66" s="1" t="s">
        <v>26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9" customFormat="1" x14ac:dyDescent="0.35">
      <c r="A67" s="9" t="s">
        <v>78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35">
      <c r="A68" s="9" t="s">
        <v>45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35">
      <c r="A69" s="5" t="s">
        <v>87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35">
      <c r="A70" s="5" t="s">
        <v>74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35">
      <c r="A71" s="5" t="s">
        <v>75</v>
      </c>
    </row>
    <row r="72" spans="1:11" x14ac:dyDescent="0.35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9"/>
    </row>
    <row r="75" spans="1:11" x14ac:dyDescent="0.35">
      <c r="A75" s="9"/>
    </row>
    <row r="76" spans="1:11" x14ac:dyDescent="0.35">
      <c r="A76" s="9"/>
    </row>
    <row r="77" spans="1:11" x14ac:dyDescent="0.35">
      <c r="A77" s="9"/>
    </row>
    <row r="78" spans="1:11" x14ac:dyDescent="0.35">
      <c r="A78" s="9"/>
    </row>
    <row r="79" spans="1:11" x14ac:dyDescent="0.35">
      <c r="A79" s="9"/>
    </row>
    <row r="80" spans="1:11" x14ac:dyDescent="0.35">
      <c r="A80" s="1" t="s">
        <v>41</v>
      </c>
    </row>
    <row r="81" spans="1:11" s="24" customFormat="1" x14ac:dyDescent="0.3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5">
      <c r="A82" s="9" t="s">
        <v>32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9" customFormat="1" x14ac:dyDescent="0.35">
      <c r="A83" s="9" t="s">
        <v>33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9" customFormat="1" x14ac:dyDescent="0.35">
      <c r="A84" s="9" t="s">
        <v>34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35">
      <c r="A85" s="9" t="s">
        <v>35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35">
      <c r="A86" s="9"/>
    </row>
    <row r="87" spans="1:11" x14ac:dyDescent="0.35">
      <c r="A87" s="9"/>
    </row>
    <row r="88" spans="1:11" x14ac:dyDescent="0.35">
      <c r="A88" s="9"/>
    </row>
    <row r="89" spans="1:11" x14ac:dyDescent="0.35">
      <c r="A89" s="9"/>
    </row>
    <row r="90" spans="1:11" s="1" customFormat="1" x14ac:dyDescent="0.35">
      <c r="A90" s="1" t="s">
        <v>77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35">
      <c r="A92" s="1" t="s">
        <v>76</v>
      </c>
    </row>
    <row r="93" spans="1:11" x14ac:dyDescent="0.35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23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workbookViewId="0">
      <selection activeCell="C13" sqref="C13"/>
    </sheetView>
  </sheetViews>
  <sheetFormatPr defaultColWidth="16.453125" defaultRowHeight="14.5" x14ac:dyDescent="0.35"/>
  <cols>
    <col min="3" max="3" width="41.08984375" bestFit="1" customWidth="1"/>
    <col min="4" max="6" width="10.1796875" bestFit="1" customWidth="1"/>
  </cols>
  <sheetData>
    <row r="2" spans="2:6" ht="26" x14ac:dyDescent="0.6">
      <c r="C2" s="80" t="s">
        <v>155</v>
      </c>
      <c r="D2" s="80"/>
      <c r="E2" s="80"/>
      <c r="F2" s="80"/>
    </row>
    <row r="5" spans="2:6" x14ac:dyDescent="0.35">
      <c r="B5" s="33" t="s">
        <v>102</v>
      </c>
      <c r="C5" s="33" t="s">
        <v>103</v>
      </c>
      <c r="D5" s="34" t="s">
        <v>96</v>
      </c>
      <c r="E5" s="34" t="s">
        <v>97</v>
      </c>
      <c r="F5" s="34" t="s">
        <v>98</v>
      </c>
    </row>
    <row r="6" spans="2:6" ht="25.5" customHeight="1" x14ac:dyDescent="0.35">
      <c r="B6" s="37" t="s">
        <v>121</v>
      </c>
      <c r="C6" s="35" t="s">
        <v>122</v>
      </c>
      <c r="D6" s="33">
        <v>2.4500000000000002</v>
      </c>
      <c r="E6" s="33">
        <v>2.3199999999999998</v>
      </c>
      <c r="F6" s="33">
        <v>2.23</v>
      </c>
    </row>
    <row r="7" spans="2:6" ht="25.5" customHeight="1" x14ac:dyDescent="0.35">
      <c r="B7" s="37" t="s">
        <v>123</v>
      </c>
      <c r="C7" s="35" t="s">
        <v>124</v>
      </c>
      <c r="D7" s="33">
        <v>2.4500000000000002</v>
      </c>
      <c r="E7" s="33">
        <v>2.3199999999999998</v>
      </c>
      <c r="F7" s="33">
        <v>2.23</v>
      </c>
    </row>
    <row r="8" spans="2:6" ht="28" customHeight="1" x14ac:dyDescent="0.35">
      <c r="B8" s="37" t="s">
        <v>125</v>
      </c>
      <c r="C8" s="35" t="s">
        <v>126</v>
      </c>
      <c r="D8" s="33">
        <v>0.2</v>
      </c>
      <c r="E8" s="33">
        <v>0.16</v>
      </c>
      <c r="F8" s="33">
        <v>0.11</v>
      </c>
    </row>
  </sheetData>
  <mergeCells count="1">
    <mergeCell ref="C2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8"/>
  <sheetViews>
    <sheetView zoomScale="115" zoomScaleNormal="115" workbookViewId="0">
      <selection activeCell="C2" sqref="C2"/>
    </sheetView>
  </sheetViews>
  <sheetFormatPr defaultRowHeight="14.5" x14ac:dyDescent="0.35"/>
  <cols>
    <col min="3" max="3" width="11.81640625" customWidth="1"/>
    <col min="4" max="4" width="9.453125" style="32" bestFit="1" customWidth="1"/>
    <col min="5" max="6" width="10.26953125" style="32" bestFit="1" customWidth="1"/>
  </cols>
  <sheetData>
    <row r="2" spans="3:8" ht="26" x14ac:dyDescent="0.6">
      <c r="D2" s="80" t="s">
        <v>154</v>
      </c>
      <c r="E2" s="80"/>
      <c r="F2" s="80"/>
      <c r="G2" s="80"/>
      <c r="H2" s="80"/>
    </row>
    <row r="4" spans="3:8" ht="15" thickBot="1" x14ac:dyDescent="0.4">
      <c r="C4" s="48"/>
    </row>
    <row r="5" spans="3:8" ht="15" thickBot="1" x14ac:dyDescent="0.4">
      <c r="C5" s="58" t="s">
        <v>148</v>
      </c>
      <c r="D5" s="59" t="s">
        <v>96</v>
      </c>
      <c r="E5" s="58" t="s">
        <v>97</v>
      </c>
      <c r="F5" s="58" t="s">
        <v>98</v>
      </c>
    </row>
    <row r="6" spans="3:8" ht="26.5" thickBot="1" x14ac:dyDescent="0.4">
      <c r="C6" s="55" t="s">
        <v>104</v>
      </c>
      <c r="D6" s="56">
        <v>0.193</v>
      </c>
      <c r="E6" s="56">
        <v>0.19</v>
      </c>
      <c r="F6" s="57">
        <v>0.19800000000000001</v>
      </c>
    </row>
    <row r="7" spans="3:8" ht="26.5" thickBot="1" x14ac:dyDescent="0.4">
      <c r="C7" s="50" t="s">
        <v>106</v>
      </c>
      <c r="D7" s="49">
        <v>0.246</v>
      </c>
      <c r="E7" s="49">
        <v>0.24299999999999999</v>
      </c>
      <c r="F7" s="51">
        <v>0.25</v>
      </c>
    </row>
    <row r="8" spans="3:8" ht="26.5" thickBot="1" x14ac:dyDescent="0.4">
      <c r="C8" s="52" t="s">
        <v>108</v>
      </c>
      <c r="D8" s="53">
        <v>0.51300000000000001</v>
      </c>
      <c r="E8" s="53">
        <v>0.52200000000000002</v>
      </c>
      <c r="F8" s="54">
        <v>0.51400000000000001</v>
      </c>
    </row>
  </sheetData>
  <mergeCells count="1">
    <mergeCell ref="D2:H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8"/>
  <sheetViews>
    <sheetView workbookViewId="0">
      <selection activeCell="D16" sqref="D16"/>
    </sheetView>
  </sheetViews>
  <sheetFormatPr defaultRowHeight="14.5" x14ac:dyDescent="0.35"/>
  <cols>
    <col min="3" max="3" width="20.6328125" bestFit="1" customWidth="1"/>
    <col min="4" max="4" width="26.54296875" bestFit="1" customWidth="1"/>
    <col min="5" max="7" width="10.1796875" bestFit="1" customWidth="1"/>
  </cols>
  <sheetData>
    <row r="2" spans="3:7" ht="26" x14ac:dyDescent="0.6">
      <c r="D2" s="80" t="s">
        <v>153</v>
      </c>
      <c r="E2" s="80"/>
      <c r="F2" s="80"/>
      <c r="G2" s="80"/>
    </row>
    <row r="5" spans="3:7" x14ac:dyDescent="0.35">
      <c r="C5" s="33" t="s">
        <v>127</v>
      </c>
      <c r="D5" s="33" t="s">
        <v>103</v>
      </c>
      <c r="E5" s="34" t="s">
        <v>96</v>
      </c>
      <c r="F5" s="34" t="s">
        <v>97</v>
      </c>
      <c r="G5" s="34" t="s">
        <v>98</v>
      </c>
    </row>
    <row r="6" spans="3:7" x14ac:dyDescent="0.35">
      <c r="C6" s="37" t="s">
        <v>128</v>
      </c>
      <c r="D6" s="35" t="s">
        <v>129</v>
      </c>
      <c r="E6" s="34">
        <v>0.11</v>
      </c>
      <c r="F6" s="34">
        <v>0.1</v>
      </c>
      <c r="G6" s="34">
        <v>0.02</v>
      </c>
    </row>
    <row r="7" spans="3:7" ht="19.5" customHeight="1" x14ac:dyDescent="0.35">
      <c r="C7" s="37" t="s">
        <v>130</v>
      </c>
      <c r="D7" s="35" t="s">
        <v>131</v>
      </c>
      <c r="E7" s="34">
        <v>80.66</v>
      </c>
      <c r="F7" s="34">
        <v>82.07</v>
      </c>
      <c r="G7" s="34">
        <v>54.39</v>
      </c>
    </row>
    <row r="8" spans="3:7" ht="21" customHeight="1" x14ac:dyDescent="0.35">
      <c r="C8" s="37" t="s">
        <v>132</v>
      </c>
      <c r="D8" s="35" t="s">
        <v>133</v>
      </c>
      <c r="E8" s="42">
        <v>6.9000000000000006E-2</v>
      </c>
      <c r="F8" s="42">
        <v>5.8799999999999998E-2</v>
      </c>
      <c r="G8" s="42">
        <v>1.2500000000000001E-2</v>
      </c>
    </row>
  </sheetData>
  <mergeCells count="1">
    <mergeCell ref="D2:G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9"/>
  <sheetViews>
    <sheetView workbookViewId="0">
      <selection activeCell="H1" sqref="H1"/>
    </sheetView>
  </sheetViews>
  <sheetFormatPr defaultRowHeight="14.5" x14ac:dyDescent="0.35"/>
  <cols>
    <col min="2" max="2" width="18.08984375" bestFit="1" customWidth="1"/>
    <col min="3" max="3" width="24" bestFit="1" customWidth="1"/>
    <col min="4" max="6" width="10.1796875" bestFit="1" customWidth="1"/>
  </cols>
  <sheetData>
    <row r="3" spans="2:6" ht="26" x14ac:dyDescent="0.6">
      <c r="C3" s="80" t="s">
        <v>152</v>
      </c>
      <c r="D3" s="80"/>
      <c r="E3" s="80"/>
    </row>
    <row r="6" spans="2:6" ht="25" customHeight="1" x14ac:dyDescent="0.35">
      <c r="B6" s="33" t="s">
        <v>134</v>
      </c>
      <c r="C6" s="33" t="s">
        <v>103</v>
      </c>
      <c r="D6" s="34" t="s">
        <v>96</v>
      </c>
      <c r="E6" s="34" t="s">
        <v>97</v>
      </c>
      <c r="F6" s="34" t="s">
        <v>98</v>
      </c>
    </row>
    <row r="7" spans="2:6" ht="29" x14ac:dyDescent="0.35">
      <c r="B7" s="37" t="s">
        <v>135</v>
      </c>
      <c r="C7" s="35" t="s">
        <v>136</v>
      </c>
      <c r="D7" s="33">
        <v>1.63</v>
      </c>
      <c r="E7" s="33">
        <v>1.67</v>
      </c>
      <c r="F7" s="33">
        <v>1.56</v>
      </c>
    </row>
    <row r="8" spans="2:6" ht="30.5" customHeight="1" x14ac:dyDescent="0.35">
      <c r="B8" s="37" t="s">
        <v>137</v>
      </c>
      <c r="C8" s="35" t="s">
        <v>138</v>
      </c>
      <c r="D8" s="45">
        <v>5000</v>
      </c>
      <c r="E8" s="45">
        <v>6000</v>
      </c>
      <c r="F8" s="45">
        <v>5500</v>
      </c>
    </row>
    <row r="9" spans="2:6" ht="29" x14ac:dyDescent="0.35">
      <c r="B9" s="37" t="s">
        <v>139</v>
      </c>
      <c r="C9" s="35" t="s">
        <v>140</v>
      </c>
      <c r="D9" s="33">
        <v>4.5</v>
      </c>
      <c r="E9" s="33">
        <v>4.4000000000000004</v>
      </c>
      <c r="F9" s="33">
        <v>4.0999999999999996</v>
      </c>
    </row>
  </sheetData>
  <mergeCells count="1">
    <mergeCell ref="C3:E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0"/>
  <sheetViews>
    <sheetView workbookViewId="0">
      <selection activeCell="H4" sqref="H4"/>
    </sheetView>
  </sheetViews>
  <sheetFormatPr defaultRowHeight="14.5" x14ac:dyDescent="0.35"/>
  <cols>
    <col min="3" max="3" width="22.08984375" bestFit="1" customWidth="1"/>
    <col min="4" max="6" width="9.81640625" bestFit="1" customWidth="1"/>
  </cols>
  <sheetData>
    <row r="2" spans="3:6" ht="23.5" x14ac:dyDescent="0.35">
      <c r="C2" s="81" t="s">
        <v>151</v>
      </c>
      <c r="D2" s="81"/>
      <c r="E2" s="81"/>
      <c r="F2" s="81"/>
    </row>
    <row r="3" spans="3:6" ht="14" customHeight="1" x14ac:dyDescent="0.35"/>
    <row r="4" spans="3:6" ht="30" customHeight="1" x14ac:dyDescent="0.35">
      <c r="C4" s="33" t="s">
        <v>141</v>
      </c>
      <c r="D4" s="34" t="s">
        <v>142</v>
      </c>
      <c r="E4" s="34" t="s">
        <v>143</v>
      </c>
      <c r="F4" s="34" t="s">
        <v>144</v>
      </c>
    </row>
    <row r="5" spans="3:6" x14ac:dyDescent="0.35">
      <c r="C5" s="37" t="s">
        <v>145</v>
      </c>
      <c r="D5" s="46">
        <v>6.8500000000000005E-2</v>
      </c>
      <c r="E5" s="46">
        <v>5.9900000000000002E-2</v>
      </c>
      <c r="F5" s="46">
        <v>4.58E-2</v>
      </c>
    </row>
    <row r="6" spans="3:6" x14ac:dyDescent="0.35">
      <c r="C6" s="37" t="s">
        <v>8</v>
      </c>
      <c r="D6" s="46">
        <v>8.5000000000000006E-2</v>
      </c>
      <c r="E6" s="46">
        <v>4.8399999999999999E-2</v>
      </c>
      <c r="F6" s="46">
        <v>7.3999999999999996E-2</v>
      </c>
    </row>
    <row r="7" spans="3:6" x14ac:dyDescent="0.35">
      <c r="C7" s="37" t="s">
        <v>95</v>
      </c>
      <c r="D7" s="46">
        <v>8.9700000000000002E-2</v>
      </c>
      <c r="E7" s="46">
        <v>5.8500000000000003E-2</v>
      </c>
      <c r="F7" s="46">
        <v>1.35E-2</v>
      </c>
    </row>
    <row r="8" spans="3:6" x14ac:dyDescent="0.35">
      <c r="C8" s="37" t="s">
        <v>100</v>
      </c>
      <c r="D8" s="46">
        <v>1.95E-2</v>
      </c>
      <c r="E8" s="46">
        <v>0.09</v>
      </c>
      <c r="F8" s="46">
        <v>0.14249999999999999</v>
      </c>
    </row>
    <row r="9" spans="3:6" x14ac:dyDescent="0.35">
      <c r="C9" s="37" t="s">
        <v>101</v>
      </c>
      <c r="D9" s="46">
        <v>1.1999999999999999E-3</v>
      </c>
      <c r="E9" s="46">
        <v>4.8800000000000003E-2</v>
      </c>
      <c r="F9" s="46">
        <v>0.1326</v>
      </c>
    </row>
    <row r="10" spans="3:6" x14ac:dyDescent="0.35">
      <c r="C10" s="37" t="s">
        <v>146</v>
      </c>
      <c r="D10" s="46">
        <v>5.6500000000000002E-2</v>
      </c>
      <c r="E10" s="46">
        <v>0.1031</v>
      </c>
      <c r="F10" s="46">
        <v>6.5100000000000005E-2</v>
      </c>
    </row>
  </sheetData>
  <mergeCells count="1">
    <mergeCell ref="C2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1"/>
  <sheetViews>
    <sheetView zoomScaleNormal="100" workbookViewId="0">
      <selection activeCell="B7" sqref="B7"/>
    </sheetView>
  </sheetViews>
  <sheetFormatPr defaultRowHeight="14.5" x14ac:dyDescent="0.35"/>
  <cols>
    <col min="3" max="3" width="22.54296875" bestFit="1" customWidth="1"/>
    <col min="4" max="4" width="10.08984375" customWidth="1"/>
    <col min="5" max="5" width="10.1796875" bestFit="1" customWidth="1"/>
    <col min="6" max="6" width="10" customWidth="1"/>
  </cols>
  <sheetData>
    <row r="3" spans="3:10" ht="19.5" customHeight="1" x14ac:dyDescent="0.35">
      <c r="D3" s="82" t="s">
        <v>150</v>
      </c>
      <c r="E3" s="82"/>
      <c r="F3" s="82"/>
      <c r="G3" s="82"/>
      <c r="H3" s="82"/>
      <c r="I3" s="82"/>
      <c r="J3" s="82"/>
    </row>
    <row r="4" spans="3:10" ht="21" customHeight="1" x14ac:dyDescent="0.35"/>
    <row r="8" spans="3:10" ht="15" thickBot="1" x14ac:dyDescent="0.4"/>
    <row r="9" spans="3:10" ht="15" thickBot="1" x14ac:dyDescent="0.4">
      <c r="C9" s="73" t="s">
        <v>147</v>
      </c>
      <c r="D9" s="74" t="s">
        <v>96</v>
      </c>
      <c r="E9" s="75" t="s">
        <v>97</v>
      </c>
      <c r="F9" s="76" t="s">
        <v>98</v>
      </c>
    </row>
    <row r="10" spans="3:10" ht="17" customHeight="1" thickBot="1" x14ac:dyDescent="0.4">
      <c r="C10" s="72" t="s">
        <v>94</v>
      </c>
      <c r="D10" s="47">
        <v>240893</v>
      </c>
      <c r="E10" s="47">
        <v>255324</v>
      </c>
      <c r="F10" s="68">
        <v>267021</v>
      </c>
    </row>
    <row r="11" spans="3:10" ht="16" thickBot="1" x14ac:dyDescent="0.4">
      <c r="C11" s="69" t="s">
        <v>99</v>
      </c>
      <c r="D11" s="70">
        <v>46099</v>
      </c>
      <c r="E11" s="70">
        <v>48797</v>
      </c>
      <c r="F11" s="71">
        <v>49454</v>
      </c>
    </row>
  </sheetData>
  <mergeCells count="1">
    <mergeCell ref="D3:J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0"/>
  <sheetViews>
    <sheetView tabSelected="1" workbookViewId="0">
      <selection activeCell="H16" sqref="H16"/>
    </sheetView>
  </sheetViews>
  <sheetFormatPr defaultRowHeight="14.5" x14ac:dyDescent="0.35"/>
  <cols>
    <col min="3" max="3" width="18.26953125" bestFit="1" customWidth="1"/>
    <col min="4" max="4" width="15.36328125" bestFit="1" customWidth="1"/>
  </cols>
  <sheetData>
    <row r="4" spans="3:11" ht="24.5" customHeight="1" x14ac:dyDescent="0.6">
      <c r="D4" s="83" t="s">
        <v>149</v>
      </c>
      <c r="E4" s="84"/>
      <c r="F4" s="84"/>
      <c r="G4" s="84"/>
      <c r="H4" s="84"/>
      <c r="I4" s="84"/>
      <c r="J4" s="84"/>
      <c r="K4" s="84"/>
    </row>
    <row r="5" spans="3:11" ht="33.5" customHeight="1" x14ac:dyDescent="0.35"/>
    <row r="6" spans="3:11" ht="25" customHeight="1" x14ac:dyDescent="0.35"/>
    <row r="8" spans="3:11" ht="29.5" thickBot="1" x14ac:dyDescent="0.4">
      <c r="C8" s="39" t="s">
        <v>102</v>
      </c>
      <c r="D8" s="44" t="s">
        <v>103</v>
      </c>
      <c r="E8" s="40" t="s">
        <v>96</v>
      </c>
      <c r="F8" s="40" t="s">
        <v>97</v>
      </c>
      <c r="G8" s="41" t="s">
        <v>98</v>
      </c>
    </row>
    <row r="9" spans="3:11" ht="29" x14ac:dyDescent="0.35">
      <c r="C9" s="60" t="s">
        <v>121</v>
      </c>
      <c r="D9" s="61" t="s">
        <v>122</v>
      </c>
      <c r="E9" s="62">
        <v>2.4500000000000002</v>
      </c>
      <c r="F9" s="62">
        <v>2.3199999999999998</v>
      </c>
      <c r="G9" s="63">
        <v>2.23</v>
      </c>
    </row>
    <row r="10" spans="3:11" ht="29.5" thickBot="1" x14ac:dyDescent="0.4">
      <c r="C10" s="64" t="s">
        <v>128</v>
      </c>
      <c r="D10" s="65" t="s">
        <v>129</v>
      </c>
      <c r="E10" s="66">
        <v>0.11</v>
      </c>
      <c r="F10" s="66">
        <v>0.1</v>
      </c>
      <c r="G10" s="67">
        <v>0.02</v>
      </c>
    </row>
  </sheetData>
  <mergeCells count="1">
    <mergeCell ref="D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Profit &amp; Loss</vt:lpstr>
      <vt:lpstr>Quarters</vt:lpstr>
      <vt:lpstr>Sheet3</vt:lpstr>
      <vt:lpstr>Sheet4</vt:lpstr>
      <vt:lpstr>Balance Sheet</vt:lpstr>
      <vt:lpstr>Cash Flow</vt:lpstr>
      <vt:lpstr>Customization</vt:lpstr>
      <vt:lpstr>Data Sheet</vt:lpstr>
      <vt:lpstr>Sheet5</vt:lpstr>
      <vt:lpstr>Sheet10</vt:lpstr>
      <vt:lpstr>Sheet6</vt:lpstr>
      <vt:lpstr>Sheet7</vt:lpstr>
      <vt:lpstr>Sheet8</vt:lpstr>
      <vt:lpstr>Sheet9</vt:lpstr>
      <vt:lpstr>Sheet11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SINGH</dc:creator>
  <cp:lastModifiedBy>Lenovo</cp:lastModifiedBy>
  <cp:lastPrinted>2012-12-06T18:14:13Z</cp:lastPrinted>
  <dcterms:created xsi:type="dcterms:W3CDTF">2012-08-17T09:55:37Z</dcterms:created>
  <dcterms:modified xsi:type="dcterms:W3CDTF">2026-09-04T13:58:09Z</dcterms:modified>
</cp:coreProperties>
</file>